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E:\WORKING\"/>
    </mc:Choice>
  </mc:AlternateContent>
  <xr:revisionPtr revIDLastSave="0" documentId="13_ncr:1_{82158177-B201-4100-B3D0-D37CF402834A}" xr6:coauthVersionLast="45" xr6:coauthVersionMax="45" xr10:uidLastSave="{00000000-0000-0000-0000-000000000000}"/>
  <bookViews>
    <workbookView xWindow="-60" yWindow="-60" windowWidth="20610" windowHeight="10980" xr2:uid="{00000000-000D-0000-FFFF-FFFF00000000}"/>
  </bookViews>
  <sheets>
    <sheet name="BBGH" sheetId="1" r:id="rId1"/>
    <sheet name="contact" sheetId="2" r:id="rId2"/>
  </sheets>
  <definedNames>
    <definedName name="_xlnm._FilterDatabase" localSheetId="0" hidden="1">BBGH!$B$18:$B$78</definedName>
    <definedName name="_xlnm.Print_Area" localSheetId="0">BBGH!$A$1:$H$89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90" i="2" l="1"/>
  <c r="A91" i="2"/>
  <c r="A92" i="2"/>
  <c r="A89" i="2" l="1"/>
  <c r="G91"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G90" i="2" l="1"/>
  <c r="G89" i="2" l="1"/>
  <c r="C83" i="1" l="1"/>
  <c r="C82" i="1"/>
  <c r="C81" i="1"/>
  <c r="K5" i="1" l="1"/>
  <c r="A4" i="1" s="1"/>
  <c r="G59" i="2" l="1"/>
  <c r="G15" i="2" l="1"/>
  <c r="G65" i="2" l="1"/>
  <c r="G64" i="2" l="1"/>
  <c r="G61" i="2"/>
  <c r="G66" i="2" l="1"/>
  <c r="G32" i="2" l="1"/>
  <c r="G17" i="2" l="1"/>
  <c r="G73" i="2" l="1"/>
  <c r="G51" i="2"/>
  <c r="G16" i="2"/>
  <c r="G55" i="2"/>
  <c r="G63" i="2"/>
  <c r="G37" i="2"/>
  <c r="G54" i="2"/>
  <c r="G50" i="2"/>
  <c r="G86" i="2"/>
  <c r="G44" i="2"/>
  <c r="G45" i="2"/>
  <c r="G3" i="2"/>
  <c r="A3" i="2"/>
  <c r="G62" i="2"/>
  <c r="G8" i="2"/>
  <c r="G60" i="2"/>
  <c r="G58" i="2"/>
  <c r="G56" i="2"/>
  <c r="G43" i="2"/>
  <c r="G80" i="2"/>
  <c r="G67" i="2"/>
  <c r="G24" i="2"/>
  <c r="G11" i="2"/>
  <c r="G27" i="2"/>
  <c r="G48" i="2"/>
  <c r="G70" i="2"/>
  <c r="G47" i="2"/>
  <c r="G26" i="2"/>
  <c r="G77" i="2"/>
  <c r="G6" i="2"/>
  <c r="G81" i="2"/>
  <c r="G13" i="2"/>
  <c r="G4" i="2"/>
  <c r="G82" i="2"/>
  <c r="G7" i="2"/>
  <c r="G49" i="2"/>
  <c r="G68" i="2"/>
  <c r="G5" i="2"/>
  <c r="G10" i="2"/>
  <c r="G42" i="2"/>
  <c r="G84" i="2"/>
  <c r="G88" i="2"/>
  <c r="G87" i="2"/>
  <c r="G36" i="2"/>
  <c r="G83" i="2"/>
  <c r="G30" i="2"/>
  <c r="G28" i="2"/>
  <c r="G29" i="2"/>
  <c r="G21" i="2"/>
  <c r="G23" i="2"/>
  <c r="G22" i="2"/>
  <c r="G53" i="2"/>
  <c r="G75" i="2"/>
  <c r="G9" i="2"/>
  <c r="G79" i="2"/>
  <c r="G76" i="2"/>
  <c r="G78" i="2"/>
  <c r="G38" i="2"/>
  <c r="G41" i="2"/>
  <c r="G31" i="2"/>
  <c r="G20" i="2"/>
  <c r="G19" i="2"/>
  <c r="G18" i="2"/>
  <c r="G40" i="2"/>
  <c r="G2" i="2"/>
  <c r="A2" i="2"/>
  <c r="G46" i="2"/>
  <c r="G69" i="2"/>
  <c r="G57" i="2"/>
  <c r="G34" i="2"/>
  <c r="G12" i="2"/>
  <c r="G71" i="2"/>
  <c r="G52" i="2"/>
  <c r="G74" i="2"/>
  <c r="G85" i="2"/>
  <c r="G39" i="2"/>
  <c r="G25" i="2"/>
  <c r="G35" i="2"/>
  <c r="G72" i="2"/>
  <c r="G33" i="2"/>
  <c r="G14" i="2"/>
  <c r="J10" i="1" l="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19" i="1"/>
  <c r="L20" i="1"/>
  <c r="N20" i="1"/>
  <c r="L21" i="1"/>
  <c r="N21" i="1"/>
  <c r="L19" i="1"/>
  <c r="N19"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19" i="1"/>
  <c r="J14" i="1"/>
  <c r="J7" i="1"/>
  <c r="K8" i="1" l="1"/>
  <c r="K6" i="1"/>
  <c r="L17" i="1"/>
  <c r="K15" i="1" s="1"/>
  <c r="K9" i="1"/>
  <c r="K10" i="1"/>
  <c r="M17" i="1"/>
  <c r="N17" i="1"/>
  <c r="L79" i="1"/>
  <c r="M79" i="1"/>
  <c r="N79" i="1"/>
  <c r="K16" i="1" l="1"/>
  <c r="B89" i="1" s="1"/>
  <c r="K14" i="1"/>
</calcChain>
</file>

<file path=xl/sharedStrings.xml><?xml version="1.0" encoding="utf-8"?>
<sst xmlns="http://schemas.openxmlformats.org/spreadsheetml/2006/main" count="530" uniqueCount="469">
  <si>
    <t>CỘNG HÒA XÃ HỘI CHỦ NGHĨA VIỆT NAM</t>
  </si>
  <si>
    <t>Độc lập –  Tự Do – Hạnh Phúc</t>
  </si>
  <si>
    <t>.........ooo...........</t>
  </si>
  <si>
    <t>BIÊN BẢN GIAO HÀNG</t>
  </si>
  <si>
    <t>CÔNG TY CỔ PHẦN DƯỢC DANAPHA</t>
  </si>
  <si>
    <t>253 Dũng Sĩ Thanh Khê, P. Thanh Khê Tây, Q.Thanh Khê, TP. Đà Nẵng</t>
  </si>
  <si>
    <t>Địa chỉ:</t>
  </si>
  <si>
    <t>Bên Nhận:</t>
  </si>
  <si>
    <t>TỔNG:</t>
  </si>
  <si>
    <t>BÊN GIAO</t>
  </si>
  <si>
    <t>BÊN NHẬN</t>
  </si>
  <si>
    <t>TT
No</t>
  </si>
  <si>
    <t>Tên hàng hóa, quy cách
Product Description</t>
  </si>
  <si>
    <t>Lô - Hạn dùng</t>
  </si>
  <si>
    <t>ĐVT
Unit</t>
  </si>
  <si>
    <t>Số lượng
Quantity</t>
  </si>
  <si>
    <t>GHI CHÚ</t>
  </si>
  <si>
    <t>NGÀY HÓA ĐƠN</t>
  </si>
  <si>
    <t>KIEN</t>
  </si>
  <si>
    <t>LE</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</si>
  <si>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</si>
  <si>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</si>
  <si>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</si>
  <si>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</si>
  <si>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</si>
  <si>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</si>
  <si>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</si>
  <si>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</si>
  <si>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</si>
  <si>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</si>
  <si>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</si>
  <si>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</si>
  <si>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</si>
  <si>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</si>
  <si>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</si>
  <si>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</si>
  <si>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</si>
  <si>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</si>
  <si>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</si>
  <si>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</si>
  <si>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</si>
  <si>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</si>
  <si>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</si>
  <si>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</si>
  <si>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</si>
  <si>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</si>
  <si>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</si>
  <si>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</si>
  <si>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</si>
  <si>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</si>
  <si>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</si>
  <si>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</si>
  <si>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</si>
  <si>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</si>
  <si>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</si>
  <si>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</si>
  <si>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</si>
  <si>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</si>
  <si>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</si>
  <si>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</si>
  <si>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</si>
  <si>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</si>
  <si>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</si>
  <si>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</si>
  <si>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</si>
  <si>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</si>
  <si>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</si>
  <si>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</si>
  <si>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</si>
  <si>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</si>
  <si>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</si>
  <si>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</si>
  <si>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</si>
  <si>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</si>
  <si>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</si>
  <si>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</si>
  <si>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</si>
  <si>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</si>
  <si>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</si>
  <si>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</si>
  <si>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Người nhận:</t>
  </si>
  <si>
    <t>CÔNG TY CỔ PHẦN DƯỢC - VTYT NGHỆ AN</t>
  </si>
  <si>
    <t>Mr Trường: 0985. 625 .027</t>
  </si>
  <si>
    <t xml:space="preserve"> </t>
  </si>
  <si>
    <t>STT</t>
  </si>
  <si>
    <t>CODE</t>
  </si>
  <si>
    <t>NOTE</t>
  </si>
  <si>
    <t>CHI NHÁNH CẦN THƠ</t>
  </si>
  <si>
    <t>Trần Vĩnh Phú: 0907353133</t>
  </si>
  <si>
    <t>CHI NHÁNH HÀ NỘI</t>
  </si>
  <si>
    <t>09- Ngõ 87 Nguyễn Văn Trỗi, Thanh Xuân, Hà Nội</t>
  </si>
  <si>
    <t>Nguyễn Thúy Hà: 0902 091 284</t>
  </si>
  <si>
    <t>CHI NHÁNH HỒ CHÍ MINH</t>
  </si>
  <si>
    <t>Kho Danapha tại Tân Tạo - Lô 14, đường số 8, KCN Tân Tạo, P.Tân Tạo A, Q.Bình Tân, TP.HCM (01000TT)</t>
  </si>
  <si>
    <t>Hoàng Thị Thanh Bình: 0914 127 404</t>
  </si>
  <si>
    <t>CHI NHÁNH KHÁNH HÒA</t>
  </si>
  <si>
    <t>CHI NHÁNH VĨNH PHÚC</t>
  </si>
  <si>
    <t xml:space="preserve">Số 43, Lô S6, Khu đô thị chùa Hà Tiên, P. Liên Bảo, Tp. Vĩnh Yên, Tỉnh Vĩnh Phúc. </t>
  </si>
  <si>
    <t>Vũ An Hòa: 0968831163</t>
  </si>
  <si>
    <t>CHI NHÁNH THANH HÓA</t>
  </si>
  <si>
    <t>Lô 141, LK3, MBQH 121/UB-CN, P. Đông Vệ, TP. Thanh Hóa, Tỉnh Thanh Hóa</t>
  </si>
  <si>
    <t>Lê Hữu Bắc: 0988264314</t>
  </si>
  <si>
    <t>NGHỆ AN 16</t>
  </si>
  <si>
    <t>TAMY NGHỆ AN</t>
  </si>
  <si>
    <t>CÔNG TY CỔ PHẦN DƯỢC PHẨM TAMY</t>
  </si>
  <si>
    <t>BV 115 NGHỆ AN</t>
  </si>
  <si>
    <t>CÔNG TY CỔ PHẦN BV 115</t>
  </si>
  <si>
    <t>Mr Vinh : 0919. 681. 147</t>
  </si>
  <si>
    <t>CTY DƯỢC HÀ TĨNH</t>
  </si>
  <si>
    <t>CÔNG TY CỔ PHẦN DƯỢC HÀ TĨNH</t>
  </si>
  <si>
    <t>NT HỒNG NHUNG</t>
  </si>
  <si>
    <t>NHÀ THUỐC SỐ 1, CHI NHÁNH DPTP. VINH (NT HỒNG NHUNG)</t>
  </si>
  <si>
    <t>Hiếu: 0974676446</t>
  </si>
  <si>
    <t>MANHTY</t>
  </si>
  <si>
    <t>Mạnh Tý - Huế</t>
  </si>
  <si>
    <t>CÔNG TY  CP  TM  DƯỢC  PHẨM  MẠNH  TÝ - VIỆT MỸ</t>
  </si>
  <si>
    <t>Chị Cảnh: 0944.471.459 / Anh Trọng: 0935.117.233</t>
  </si>
  <si>
    <t>3KPHARMA</t>
  </si>
  <si>
    <t>CÔNG TY 3K PHARMA</t>
  </si>
  <si>
    <t>Kho B2.2, Số 63 Vạn Phúc, Hà Đông, Hà Nội</t>
  </si>
  <si>
    <t>CÔNG TY CỔ PHẦN DANSON GROUP</t>
  </si>
  <si>
    <t>Kho B2.3, Số 63 Vạn Phúc, Hà Đông, Hà Nội</t>
  </si>
  <si>
    <t>Hoàng Thị Ngân: 098.250.4299</t>
  </si>
  <si>
    <t>Công Ty Dược Phẩm Đông Á</t>
  </si>
  <si>
    <t>CÔNG TY DƯỢC PHẨM ĐÔNG Á</t>
  </si>
  <si>
    <t>Lô A2-CN3, Cụm CN Từ Liêm, Q.Bắc Từ Liêm, Tp. Hà Nội</t>
  </si>
  <si>
    <t>Lô 1-1, cụm 1, đường M14, KCN Tân Bình mở rộng, P.Bình Hưng Hòa, Q.Bình Tân, Tp. Hồ Chí Minh</t>
  </si>
  <si>
    <t>Đường số 4, KCN Hòa Khánh Bắc, Q.Liên Chiểu, Tp. Đà Nẵng</t>
  </si>
  <si>
    <t>Trần Thị Thảo: 039 3101679</t>
  </si>
  <si>
    <t>Chị Tạ Thanh: 0327629999</t>
  </si>
  <si>
    <t>KIMDO</t>
  </si>
  <si>
    <t>CÔNG TY TNHH DƯỢC KIM ĐÔ</t>
  </si>
  <si>
    <t>Lô II-11, Cụm 1, Nhóm Công Nghiệp II, đường số 8, Khu Công nghiệp Tân Bình, P. Tây Thạnh, Quận Tân Phú, TP Hồ Chí Minh</t>
  </si>
  <si>
    <t>Chị Cẩm Dung: 0974 751164</t>
  </si>
  <si>
    <t>INDICO</t>
  </si>
  <si>
    <t>CÔNG TY TNHH INDICO</t>
  </si>
  <si>
    <t>741 – 743 Hậu Giang, Phường 11, Quận 6, TP. Hồ Chí Minh.</t>
  </si>
  <si>
    <t>CÔNG TY TIÊN TIẾN</t>
  </si>
  <si>
    <t>Lô III-14, Đường số CN1, Nhóm CN III, Khu CN Tân Bình, Phường Tây Thạnh, Quận Tân Phú, TP. Hồ Chí Minh</t>
  </si>
  <si>
    <t>Cty Tiên Tiến HN</t>
  </si>
  <si>
    <t>Ms Hiền: 0984 991 633</t>
  </si>
  <si>
    <t>BSTRINH</t>
  </si>
  <si>
    <t>BS TRÌNH-NGHỆ AN</t>
  </si>
  <si>
    <t>CÔNG TY CP DƯỢC MỸ PHẨM THIÊN MINH</t>
  </si>
  <si>
    <t>NHIKHOAVN</t>
  </si>
  <si>
    <t>CÔNG TY CỔ PHẦN NHI KHOA VIỆT NAM</t>
  </si>
  <si>
    <t>Tầng 4, NV1-6, Khu nhà ở cho CBCS cục B42, Tổng cục V, Bộ Công An, xã Tân Triều, huyện Thanh Trì, Hà Nội</t>
  </si>
  <si>
    <t>Chị Hằng: 0932.089.012</t>
  </si>
  <si>
    <t>KHO DKSH VSIP BÌNH DƯƠNG</t>
  </si>
  <si>
    <t>Số 23 Đại Lộ Độc Lập, Khu công nghiệp Việt Nam – Singapore 1, Phường Bình Hòa, thị xã Thuận An, Tỉnh Bình Dương, Việt Nam</t>
  </si>
  <si>
    <t>CÔNG TY CỔ PHẦN DƯỢC - THIẾT BỊ Y TẾ ĐÀ NẴNG</t>
  </si>
  <si>
    <t>Đường số 9, Khu công nghiệp Hòa Cầm, Quận Cẩm Lệ, Thành phố Đà Nẵng.</t>
  </si>
  <si>
    <t>CÔNG TY CỔ PHẦN SAO MAI</t>
  </si>
  <si>
    <t>Chị Xuyến: 0983 .142. 598</t>
  </si>
  <si>
    <t>Lô 38, Đường 36, Khu công nghiệp Quang Minh, Thị trấn Quang Minh, Huyện Mê Linh, Thành phố Hà Nội, Việt Nam</t>
  </si>
  <si>
    <t>Mr. Nguyễn Xuân Bách Phone: 0978 268 144</t>
  </si>
  <si>
    <t>Kho HAP2 -Lô 8B Khu Công nghiệp Quang Minh, Thị Trấn Quang Minh, Huyện Mê Linh, Thành phố Hà Nội, Việt Nam</t>
  </si>
  <si>
    <t>CÔNG TY CỔ PHẦN DƯỢC PHẨM THIẾT BỊ Y TẾ HÀ NỘI</t>
  </si>
  <si>
    <t xml:space="preserve">Mr. Nguyễn Phúc Hậu DT: 0945053488 / Nguyễn Văn Sáng DT: 0989895756 </t>
  </si>
  <si>
    <t>CÔNG TY TNHH DƯỢC PHẨM GIGAMED</t>
  </si>
  <si>
    <t>Lô B4, Đường K1, KCN Cát Lái, Phường Thạnh Mỹ Lợi, Q2, TP Thủ Đức, TP HCM</t>
  </si>
  <si>
    <t>CÔNG TY TNHH DƯỢC PHẨM VIỆT HÙNG</t>
  </si>
  <si>
    <t>VIETHUNG</t>
  </si>
  <si>
    <t>Chị Hoa thủ kho- 098 8402939</t>
  </si>
  <si>
    <t>CHI NHÁNH CÔNG TY TNHH DP HOA SEN</t>
  </si>
  <si>
    <t>107 Lê Công Thanh, phường Hai Bà Trưng, thành phố Phủ Lý, tỉnh Hà Nam</t>
  </si>
  <si>
    <t>HOASEN</t>
  </si>
  <si>
    <t>Nguyễn Thùy Linh: 0915310494</t>
  </si>
  <si>
    <t>Tầng 1 Toà ct2 khu đô thị dream town, phường Tây Mỗ, quận Nam Từ Liêm, Hà Nội</t>
  </si>
  <si>
    <t>Lô 27-28 đường số 8, KĐT mới Lê Hồng Phong-Venesia, P.Phước Hải, TP.Nha Trang, Khánh Hòa (01360SP)</t>
  </si>
  <si>
    <t>Số 16 Nguyễn Thị Minh Khai, phường Hưng Bình, TP Vinh, Tỉnh Nghệ An</t>
  </si>
  <si>
    <t>Nhà liền kề 9, khu Tecco- Quang Trung, TP Vinh, Tỉnh Nghệ An</t>
  </si>
  <si>
    <t>Xóm 10, xã Nghi Phú, TP vinh, Tỉnh Nghệ An</t>
  </si>
  <si>
    <t>Số 167 Đường Hà Huy Tập, Phường Nam Hà, TP Hà Tĩnh, Tỉnh Hà Tĩnh</t>
  </si>
  <si>
    <t>Số 16 đường Nguyễn Thị Minh Khai, P. Hưng Bình, TP. Vinh, Nghệ An</t>
  </si>
  <si>
    <t>Km 4, đường Hùng Vương, phường Phúc  Khánh, TP Thái Bình</t>
  </si>
  <si>
    <t>Lô số 1, Đường số 5, Cụm Công nghiệp An Hòa , Thành phố Huế</t>
  </si>
  <si>
    <t>Kho Dệt Len Đà Lạt, số 114 (km2.5) Phùng Hưng, Hà Đông, Hà Nội (Đối diện viện K Tân Triều)</t>
  </si>
  <si>
    <t>41 Đinh Văn Chất, Yên Bình, Xã Hưng Đông, TP. Vinh, Nghệ An</t>
  </si>
  <si>
    <t>Số 23, ngõ 37 Nguyễn Tiến Tái, Khối 17, P. Hưng bình, TP. Vinh, Nghệ An</t>
  </si>
  <si>
    <t>A3-22 Đường số 10, KDC Nam Long, KV2, phường Hưng Thạnh, quận Cái Răng, TP Cần Thơ</t>
  </si>
  <si>
    <t>TANTAO</t>
  </si>
  <si>
    <t>KHO TÂN TẠO</t>
  </si>
  <si>
    <t>CẦN THƠ</t>
  </si>
  <si>
    <t>HÀ NỘI</t>
  </si>
  <si>
    <t>HCM</t>
  </si>
  <si>
    <t>KHÁNH HÒA</t>
  </si>
  <si>
    <t>VĨNH PHÚC</t>
  </si>
  <si>
    <t>THANH HÓA</t>
  </si>
  <si>
    <t>NGHEAN16</t>
  </si>
  <si>
    <t>TAMY</t>
  </si>
  <si>
    <t>BV115</t>
  </si>
  <si>
    <t>HATINH</t>
  </si>
  <si>
    <t>SAOMAI</t>
  </si>
  <si>
    <t>KHO63</t>
  </si>
  <si>
    <t>CANTHO</t>
  </si>
  <si>
    <t>HANOI</t>
  </si>
  <si>
    <t>TÂN TẠO</t>
  </si>
  <si>
    <t>KHANHHOA</t>
  </si>
  <si>
    <t>VINHPHUC</t>
  </si>
  <si>
    <t>THANHHOA</t>
  </si>
  <si>
    <t>BS TRÌNH</t>
  </si>
  <si>
    <t>THIÊN MINH</t>
  </si>
  <si>
    <t>NHI KHOA</t>
  </si>
  <si>
    <t>DKSH MN VSIP</t>
  </si>
  <si>
    <t>DKSH MT</t>
  </si>
  <si>
    <t>GGM MN</t>
  </si>
  <si>
    <t>GGM MT</t>
  </si>
  <si>
    <t>VIỆT HÙNG</t>
  </si>
  <si>
    <t>HOA SEN</t>
  </si>
  <si>
    <t>DAP.MB</t>
  </si>
  <si>
    <t>DAP.MN</t>
  </si>
  <si>
    <t>DAP.MT</t>
  </si>
  <si>
    <t>HADICO.HAPU</t>
  </si>
  <si>
    <t>HADICO.CTY</t>
  </si>
  <si>
    <t>TIENTIEN.MN</t>
  </si>
  <si>
    <t>TIENTIEN.MB</t>
  </si>
  <si>
    <t>TIENTIEN.MT</t>
  </si>
  <si>
    <t>DKSH.MT</t>
  </si>
  <si>
    <t>DKSH.MN.VSIP</t>
  </si>
  <si>
    <t>DKSH.MB</t>
  </si>
  <si>
    <t>GGM.MN</t>
  </si>
  <si>
    <t>GGM.MB</t>
  </si>
  <si>
    <t>GGM.MT</t>
  </si>
  <si>
    <t>VTYT.NGHEAN</t>
  </si>
  <si>
    <t>VTYT.THANHHOA</t>
  </si>
  <si>
    <t>CÔNG TY CP DƯỢC VTYT THANH HÓA</t>
  </si>
  <si>
    <t>Số 232 Trần Phú, P. Lam Sơn, TP Thanh Hóa</t>
  </si>
  <si>
    <t>A. Hiếu : 0974676446 / 0238.3841642</t>
  </si>
  <si>
    <t>Phượng 090 4822555 / 02373852691</t>
  </si>
  <si>
    <t>Đường số 6B-Khu Công nghiệp Hòa Khánh, phường Hòa Khánh Bắc, quận Liên Chiểu, TP Đà Nẵng</t>
  </si>
  <si>
    <t>VIETTIN</t>
  </si>
  <si>
    <t>CÔNG TY TNHH DƯỢC PHẨM VIỆT TÍN THA</t>
  </si>
  <si>
    <t>Ki ốt 3/3 khu đô thị Hoàng Long P. Tào Xuyên TP. Thanh Hóa</t>
  </si>
  <si>
    <t>Ms Phương 0989733752</t>
  </si>
  <si>
    <t>KIMDO.MB</t>
  </si>
  <si>
    <t>CHI NHÁNH CÔNG TY TNHH DƯỢC KIM ĐÔ</t>
  </si>
  <si>
    <t>Số 02 Ngách 8 Ngõ 117 Thái Hà , Đống Đa - Hà Nội</t>
  </si>
  <si>
    <t>Ms Thục: 0936221512 / Ms Phương: 0902361001 /0243.537658</t>
  </si>
  <si>
    <t>Q.CÁCH</t>
  </si>
  <si>
    <t>BV.NAMDINH</t>
  </si>
  <si>
    <t>BỆNH VIỆN ĐA KHOA TỈNH NAM ĐỊNH</t>
  </si>
  <si>
    <t>số 2 Trần Quốc Toản, thành phố Nam Định</t>
  </si>
  <si>
    <t>ANHUNG</t>
  </si>
  <si>
    <t>CÔNG TY KINH DOANH DƯỢC PHẨM AN HƯNG</t>
  </si>
  <si>
    <t>số 23TT 6 khu đấu giá Tứ Hiệp, Thanh Trì, Hà Nội.</t>
  </si>
  <si>
    <t>Ms Thủy: 024.625.44782- 0776216255</t>
  </si>
  <si>
    <t>KHO DKSH - CHI NHÁNH HÀ NỘI</t>
  </si>
  <si>
    <t>CÔNG TY PHƯỚC AN HÒA</t>
  </si>
  <si>
    <t>87 Trần Hưng Đạo, phường Phước Nguyên, Tp Bà Rịa, Vũng Tàu</t>
  </si>
  <si>
    <t>Anh Tùng: 0909816867</t>
  </si>
  <si>
    <t>PHUOCANHOA</t>
  </si>
  <si>
    <t>MOCHI</t>
  </si>
  <si>
    <t>Giao tại chợ Hapu - 85 Vũ Trọng Phụng, Q.Thanh Xuân, Hà Nội</t>
  </si>
  <si>
    <t>ANVUONG</t>
  </si>
  <si>
    <t>CÔNG TY TRÁCH NHIỆM HỮU HẠN DƯỢC PHẨM AN VƯỢNG</t>
  </si>
  <si>
    <t>TTHAN.THAIBINH</t>
  </si>
  <si>
    <t>BỆNH VIỆN TÂM THẦN THÁI BÌNH</t>
  </si>
  <si>
    <t>Số 363 đường Trần Lãm, thành phố Thái Bình, tỉnh Thái Bình</t>
  </si>
  <si>
    <t>Chị Nguyệt: 0858450181</t>
  </si>
  <si>
    <t>Danapha giao chi tiết các mặt hàng như sau:</t>
  </si>
  <si>
    <t>NBO</t>
  </si>
  <si>
    <t>OTC</t>
  </si>
  <si>
    <t>Ms Thơm: 0976025292</t>
  </si>
  <si>
    <t>ANHQUAN</t>
  </si>
  <si>
    <t>ANH QUÂN</t>
  </si>
  <si>
    <t>24 Trần Tống, TP Đà Nẵng</t>
  </si>
  <si>
    <t>Anh Quân: 0888818588</t>
  </si>
  <si>
    <t>Ms Hằng: 0976903216</t>
  </si>
  <si>
    <t>Đường Phan Chu Trinh, phường Nam Thành, TP Ninh Bình</t>
  </si>
  <si>
    <t>BỆNH VIỆN SẢN NHI NINH BÌNH</t>
  </si>
  <si>
    <t>BVSN.NINHBINH</t>
  </si>
  <si>
    <t>Anh Lê Bảo Thạc: 0813995463 / Ms Nhỏ: 0947711004</t>
  </si>
  <si>
    <t>Ms Xoan: 0972741278 / Chị Trâm: 0904.747.841</t>
  </si>
  <si>
    <t>CÔNG TY CP TTH HÀ TĨNH- CHI NHÁNH BỆNH VIỆN ĐA KHOA TTH HÀ TĨNH</t>
  </si>
  <si>
    <t>TTH.HATINH</t>
  </si>
  <si>
    <t>Số 01, đường Ngô Quyền, Xã Thạch Trung, Thành phố Hà Tĩnh, Tỉnh Hà Tĩnh</t>
  </si>
  <si>
    <t>Ms Thủy kho: 0916744855</t>
  </si>
  <si>
    <t>DSG.MN</t>
  </si>
  <si>
    <t>KHO DSG TÂN TẠO</t>
  </si>
  <si>
    <t>Lô G1, Đường số 3, Khu công nghiệp Hòa Khánh, phường Hòa Khánh Bắc, quận Liên Chiểu, Đà Nẵng</t>
  </si>
  <si>
    <t>Lê Quang Thịnh: 0905916379</t>
  </si>
  <si>
    <t>ANKHANG</t>
  </si>
  <si>
    <t>TIENTIEN.MBDA</t>
  </si>
  <si>
    <t>Mr Dương: 0906 228 988; Ms Thu 0358116308</t>
  </si>
  <si>
    <t>Đường Hoàng Sa, thôn Cầu Thăng Long, xã Kim Nỗ, huyện Đông Anh, Hà Nội</t>
  </si>
  <si>
    <t>CÔNG TY TIÊN TIẾN (Đông Anh)</t>
  </si>
  <si>
    <t>CÔNG TY TIÊN TIẾN (Kho Dệt Len)</t>
  </si>
  <si>
    <t>DSG.MT</t>
  </si>
  <si>
    <t>Kho Danapha</t>
  </si>
  <si>
    <t>Column1</t>
  </si>
  <si>
    <t>MEDIMED</t>
  </si>
  <si>
    <t>CÔNG TY MEDIMED</t>
  </si>
  <si>
    <t>1073/27 A Đường CMT8, P. 7, Q. Tân Bình, TPHCM</t>
  </si>
  <si>
    <t>CỔNG TY CP DƯỢC PHẨM AN KHANG PHARMA</t>
  </si>
  <si>
    <t>CÔNG TY HADICO - CHỢ HAPU</t>
  </si>
  <si>
    <t>SUCKHOEVIET</t>
  </si>
  <si>
    <t>CÔNG TY TNHH TM SX SỨC KHỎE VIỆT</t>
  </si>
  <si>
    <t>286/8 CMT8, phường Bùi Hữu Nghĩa, quận Bình Thủy, TP Cần Thơ</t>
  </si>
  <si>
    <t>Mr Kha 0795453553</t>
  </si>
  <si>
    <t>Nguyên Anh-0707970501/ Phương: 0974947374</t>
  </si>
  <si>
    <t>MEDX</t>
  </si>
  <si>
    <t>CÔNG TY TNHH DƯỢC PHẨM MEDX</t>
  </si>
  <si>
    <t>Kho thuocsi, Log 19, Đường số 3, Vsip 2, Phường Hòa Phú, Thủ Dầu Một, Bình Dương</t>
  </si>
  <si>
    <t>Mr Tùng 0937334335 / 02873008840</t>
  </si>
  <si>
    <t>DSG-XK</t>
  </si>
  <si>
    <t>Mrs. Tuyến - ĐT: 0979993636</t>
  </si>
  <si>
    <t>Số 21, đường số 2, Khu dân cư  Khang An, Phường Phú Hữu, Q9, Tp.Hồ Chí Minh.</t>
  </si>
  <si>
    <t>BV_TTH</t>
  </si>
  <si>
    <t>Bệnh viện Thái thượng hoàng</t>
  </si>
  <si>
    <t xml:space="preserve">Số 01, đường Ngô Quyền, Xã Thạch Trung, Thành phố Hà Tĩnh, Tỉnh Hà Tĩnh  </t>
  </si>
  <si>
    <t xml:space="preserve">Ms Thủy: 0916744855 </t>
  </si>
  <si>
    <t>DP_AN</t>
  </si>
  <si>
    <t>CÔNG TY TRÁCH NHIỆM HỮU HẠN DƯỢC PHẨM AN</t>
  </si>
  <si>
    <t>793/60B Trần Xuân Soạn, Phường Tân Hưng, Quận 7, TP.HCM</t>
  </si>
  <si>
    <t>Ms Nhung: 0903.994.808</t>
  </si>
  <si>
    <t xml:space="preserve">Ms Nhung: 0918605596 / A Trần Võ Sơn: 0978685599 / Anh Xuân 0989082875 / Trường: 096338064 </t>
  </si>
  <si>
    <t xml:space="preserve">                 KIỆN</t>
  </si>
  <si>
    <t>PHUCKHOINGUYEN</t>
  </si>
  <si>
    <t>CÔNG TY TNHH PHÚC KHỞI NGUYÊN</t>
  </si>
  <si>
    <t>Lô 49, đường số 2, Khu nhà ở CBGV trường ĐHCT, Phường An Khánh, Quận Ninh Kiều, Thành Phố Cần Thơ, Việt Nam</t>
  </si>
  <si>
    <t>Anh Khởi: 0907678257</t>
  </si>
  <si>
    <t>Ms Sáng: 0258.650.43.43 - 0988 542 639</t>
  </si>
  <si>
    <t>CÔNG TY CỔ PHẦN TRUSTPHARM</t>
  </si>
  <si>
    <t>TRUSTPHARM</t>
  </si>
  <si>
    <t>Thửa đất số 2243 KV Bình An, P. Long Hòa Q. Ninh Kiều TP Cần Thơ</t>
  </si>
  <si>
    <t>SĐT: 0849212767</t>
  </si>
  <si>
    <t>Nguyễn Bá Công-+84 79.856.4567/ Mr.Chí Thiện 0908504841</t>
  </si>
  <si>
    <t>DON_VI_NHAN_HANG</t>
  </si>
  <si>
    <t>NGUOI_LIEN_HE</t>
  </si>
  <si>
    <t>LONGCHAU</t>
  </si>
  <si>
    <t>KHO NHÀ THUỐC LONG CHÂU</t>
  </si>
  <si>
    <t>Nhà kho 2A, Số 9, Nguyễn Văn Tạo, xã Long Thới,  Huyện Nhà Bè, HCM</t>
  </si>
  <si>
    <t>NT.HOAVINH</t>
  </si>
  <si>
    <t>QUẦY THUỐC CN DƯỢC ĐÔ LƯƠNG NGHỆ AN (NT Hòa Vịnh)</t>
  </si>
  <si>
    <t>Xóm 8 Xã Đông Sơn H. Đô Lương Tỉnh NGhệ An</t>
  </si>
  <si>
    <t>ĐT:  0962302606</t>
  </si>
  <si>
    <t>NHÀ THUỐC HƯƠNG NHO</t>
  </si>
  <si>
    <t>Số 16 đường Nguyễn Thị Minh Khai P. Hưng Bình, TP Vinh tình Nghệ An</t>
  </si>
  <si>
    <t>Mrs Lan Hương 0978634582</t>
  </si>
  <si>
    <t>NT.PHUONGMY</t>
  </si>
  <si>
    <t>NHÀ THUỐC PHƯỢNG MỸ</t>
  </si>
  <si>
    <t>157 THĂNG LONG, KIM LIÊN, NGHI LIÊN, TP VINH, TỈNH NGHỆ AN</t>
  </si>
  <si>
    <t>ĐT: 0982969844</t>
  </si>
  <si>
    <t>ANVUONG2</t>
  </si>
  <si>
    <t>CN-1, Khu CN Phú Nghĩa, xã Phúc Nghĩa, huyện Chương Mỹ , Hà Nội.</t>
  </si>
  <si>
    <t>Ms Hiền: 0986980583</t>
  </si>
  <si>
    <t>Mrs Ngọc: 0946831288</t>
  </si>
  <si>
    <t>Ms Liên: 0978488492 / Mr Trường: 0985. 625 .027</t>
  </si>
  <si>
    <t>Phan Chánh Nhật: 0905988177</t>
  </si>
  <si>
    <t>NT.HUONGNHO.NA</t>
  </si>
  <si>
    <t>NT.HONGNHUNG.NA</t>
  </si>
  <si>
    <t>THIENMINH.NA</t>
  </si>
  <si>
    <t>NT.THANHCAO.CT</t>
  </si>
  <si>
    <t>NHÀ THUỐC THÀNH CAO</t>
  </si>
  <si>
    <t>42 Nguyễn Thị Minh khai - P7 Thị Xã Trà Vinh Tỉnh Trà Vinh</t>
  </si>
  <si>
    <t>SĐT: 0913777084</t>
  </si>
  <si>
    <t>3KPHARMA.01</t>
  </si>
  <si>
    <t>16 – TM3E – 2 - Khu Đô Thị The Manor Central Park – Thuộc dự án Khu đô thị Nam đường vành đai 3 tại phường Đại Kim quận Hoàng Mai và xã Thanh Liệt, Thanh Trì, Hà Nội</t>
  </si>
  <si>
    <t>Chị Hương: 0345.601.983</t>
  </si>
  <si>
    <t>LONGCHAU.HN</t>
  </si>
  <si>
    <t>Kho nhận hàng miền Bắc : Tổ Dân Phố 4, Thị Trấn Quang Minh, Huyện Mê Linh, Hà Nội</t>
  </si>
  <si>
    <t>Chung Thành/Lan Linh: 0934 338 883/ 0865 993 138</t>
  </si>
  <si>
    <t>LONGCHAU.HCM</t>
  </si>
  <si>
    <t>Kho nhận hàng Long Châu miền Nam: Nhà kho 2A, Số 9 , Nguyễn Văn Tạo, xã Long Thới ,  Huyện Nhà Bè , HCM</t>
  </si>
  <si>
    <t>Bùi Thị Thuỳ Trang: 0933320560</t>
  </si>
  <si>
    <t>Ngọc Uyển 0987513434 / Anh Tùng: 0909816867</t>
  </si>
  <si>
    <t>VINPHARM</t>
  </si>
  <si>
    <t>CÔNG TY CỔ PHẦN VINPHARM</t>
  </si>
  <si>
    <t>Địa chỉ: Thôn 2 – Lại Yên – Hoài Đức – Hà Nội</t>
  </si>
  <si>
    <t>MRCUONGHCM</t>
  </si>
  <si>
    <t>MR CƯỜNG-HCM</t>
  </si>
  <si>
    <t>Mr Cường 0905672582</t>
  </si>
  <si>
    <t>NT.339PHUNGHIA</t>
  </si>
  <si>
    <t>NHÀ THUỐC 339 PHÙ NGHĨA</t>
  </si>
  <si>
    <t>Số 339 đường Phù Nghĩa, Lộc Hạ, TP Nam Định, tỉnh Nam Định</t>
  </si>
  <si>
    <t>Hậu 0912536658</t>
  </si>
  <si>
    <t>HUNGBINHHUONG</t>
  </si>
  <si>
    <t>CÔNG TY TNHH HƯNG BÌNH HƯỜNG</t>
  </si>
  <si>
    <t>Số 390 Hoàng Văn Thụ P. Quang Trung TP. Nam Định tỉnh Nam Định</t>
  </si>
  <si>
    <t>Cô Ngọc 0398040268</t>
  </si>
  <si>
    <t>NT.THANHNGOC</t>
  </si>
  <si>
    <t>NHÀ THUỐC THANH NGỌC</t>
  </si>
  <si>
    <t>47 Huỳnh Thúc Kháng, Vĩnh Quang Rạch Giá Kiên Giang</t>
  </si>
  <si>
    <t>Mr Huế 0912284428</t>
  </si>
  <si>
    <t>Mrs Lan Hương 0978634582 / Hiếu: 0974676446</t>
  </si>
  <si>
    <t>NT.ANHTHUAN</t>
  </si>
  <si>
    <t>NHÀ THUỐC ANH THUẬN</t>
  </si>
  <si>
    <t>155 Xô Viết Nghệ Tĩnh, phường Thắng Tam, TP Vũng Tàu</t>
  </si>
  <si>
    <t>Anh Thuận: 0947841717</t>
  </si>
  <si>
    <t>CTY.THANHDO</t>
  </si>
  <si>
    <t>CÔNG TY THÀNH ĐÔ NGHỆ AN</t>
  </si>
  <si>
    <t>16 NGuyễn Thị Minh Khai P. Hưng Bình, TP. Vinh</t>
  </si>
  <si>
    <t>Mr Hiếu: 0974676446</t>
  </si>
  <si>
    <t>anh Trị: 0707809180 / Ms Trang: 0896366859</t>
  </si>
  <si>
    <t>023 2002 DAP.MN</t>
  </si>
  <si>
    <t>Bên Giao:     CÔNG TY CỔ PHẦN DƯỢC DANAPHA
Địa chỉ:        253 Dũng Sĩ Thanh Khê, P. Thanh Khê Tây, Q.Thanh Khê, TP. Đà Nẵng
Người giao:  Anh Võ Văn Nam – ĐTDĐ: 0905 171 770</t>
  </si>
  <si>
    <t>MS_MY_0918377855</t>
  </si>
  <si>
    <t>1073/27A Cách mạng Tháng 8 , Phường 7, Quận Tân Bình , Tp Hồ Chí Minh</t>
  </si>
  <si>
    <t>Chị  My: 0918377855</t>
  </si>
  <si>
    <t>TANTHANHNAM</t>
  </si>
  <si>
    <t>CÔNG TY TNHH DƯỢC PHẨM TÂN THÀNH NAM</t>
  </si>
  <si>
    <t>DSG TÂN TẠO</t>
  </si>
  <si>
    <t>Chị Hương : 0976. 084 .943</t>
  </si>
  <si>
    <t>CÔNG TY HADICO-HAPU</t>
  </si>
  <si>
    <t>KIMDO.MN</t>
  </si>
  <si>
    <t>CÔNG TY TIÊN TIẾN HCM</t>
  </si>
  <si>
    <t>CÔNG TY TIÊN TIẾN HN</t>
  </si>
  <si>
    <t>CÔNG TY TIÊN TIẾN ĐN</t>
  </si>
  <si>
    <t>Mr. Châu Văn Quốc Bình -ĐT: 0905 923 004 / Phan Nguyên Nhân-ĐT: 090557516</t>
  </si>
  <si>
    <t>DKSH MB (thực phẩm)</t>
  </si>
  <si>
    <t>Trần Anh Đức DT:  0907195640</t>
  </si>
  <si>
    <t>GGM MB (thuốc)</t>
  </si>
  <si>
    <t>Chị Hạnh kho: 0943.145.637</t>
  </si>
  <si>
    <t>CÔNG TY TNHH TMDV MOCHI.BR</t>
  </si>
  <si>
    <t>Nhà số 7, lô TT06B KĐT Tây Nam Linh Đàm, P.Hoàng Liệt, Q.Hoàng Mai.</t>
  </si>
  <si>
    <t>Ms My: 0918377855 / Mr. Khuê: 0903708647</t>
  </si>
  <si>
    <t>MRS TUYẾN - ĐT: 0979993636</t>
  </si>
  <si>
    <t>Nguyễn Hồng Phương: 0985628162</t>
  </si>
  <si>
    <t>108/95 Trần văn quang, phường 10, Tân bình, Hồ Chí Minh</t>
  </si>
  <si>
    <t>CHỊ MY _ 0918377855</t>
  </si>
  <si>
    <t>DANHSON</t>
  </si>
  <si>
    <t>CÔNG TY TNHH DANHSON GROUP</t>
  </si>
  <si>
    <t>Phòng 303, tầng 3, số 253 Dũng Sĩ Thanh Khê, Phường Thanh Khê Tây, Quận Thanh Khê, Thành phố Đà Nẵng, Việt Nam.</t>
  </si>
  <si>
    <t>CÔNG TY CP DƯỢC HADICO-NV5-21</t>
  </si>
  <si>
    <t>Khu nhà ở cho CBCS cục B42, B57-Tổng cục V-Bộ Công An, Xã Tân Triều, huyện Thanh Trì, TP. Hà Nội</t>
  </si>
  <si>
    <t>OTC-HN</t>
  </si>
  <si>
    <t>KHO OTC HÀ NỘI</t>
  </si>
  <si>
    <t>NT.TAMBINH</t>
  </si>
  <si>
    <t>NHÀ THUỐC TÂM BÌNH</t>
  </si>
  <si>
    <t>SN 58 Trần Nhân Tông, P. Quảng Hưng, TP Thanh Hóa</t>
  </si>
  <si>
    <t>Người nhận: Bình 0963815168</t>
  </si>
  <si>
    <t>NT.THIENHA</t>
  </si>
  <si>
    <t>NHÀ THUỐC THIỆN HÀ</t>
  </si>
  <si>
    <t>490 Hải Thượng Lãn Ông Đông Vệ Thanh Hóa</t>
  </si>
  <si>
    <t>Mrs Hà 0986796778</t>
  </si>
  <si>
    <t>NT.TUANLINH</t>
  </si>
  <si>
    <t>NHÀ THUỐC TUẤN LINH</t>
  </si>
  <si>
    <t>Thôn Đông xã Quảng Nam huyện Quảng Xương Thanh Hóa</t>
  </si>
  <si>
    <t>SĐT: 0378957197</t>
  </si>
  <si>
    <t>CTY.HANHHAI</t>
  </si>
  <si>
    <t>CÔNG TY TNHH TM DP HẠNH HẢI</t>
  </si>
  <si>
    <t>197 Nguyễn Trãi. P. Tân Sơn, TP Thanh Hóa</t>
  </si>
  <si>
    <t>ĐT: 0985773112</t>
  </si>
  <si>
    <t>DIA_CHI_NHAN_HANG</t>
  </si>
  <si>
    <t>NT.MINHLIEU</t>
  </si>
  <si>
    <t>NHÀ THUỐC MINH LIỄU</t>
  </si>
  <si>
    <t>116 Trần Thái Tông, Thị Trấn Hưng Nhân, Huyện Hưng Hà, Tỉnh Thái Bình</t>
  </si>
  <si>
    <t>Theo đơn đặt hàng:</t>
  </si>
  <si>
    <t>Liên hệ:</t>
  </si>
  <si>
    <t>Danapha giao hàng cho DANHSON GROUP theo đơn đặt hàng của khách hàng như sau:</t>
  </si>
  <si>
    <t>Bên nhận:     CÔNG TY TNHH DANHSON GROUP
Địa chỉ :        Phòng 303, tầng 3, số 253 Dũng Sĩ Thanh Khê, Phường Thanh Khê Tây, Quận Thanh Khê,
                    Thành phố Đà Nẵng, Việt Nam.
Người nhận:  Anh Nguyễn Trần Nguyên  - ĐT/Zalo :  0935.148942 - Thủ kho DSG Đà Nẵng</t>
  </si>
  <si>
    <t>PHUOCANHOA2</t>
  </si>
  <si>
    <t>38 Tam Đảo, phường 15, quận 10, thành phố Hồ Chí Minh</t>
  </si>
  <si>
    <t>ĐT: 0914538228</t>
  </si>
  <si>
    <t>SPTHIENNHIEN</t>
  </si>
  <si>
    <t>CÔNG TY CỔ PHẦN CÁC SẢN PHẨM THIÊN NHIÊN</t>
  </si>
  <si>
    <t>Số 62 trung yên 12, yên hòa, cầu giấy, HN</t>
  </si>
  <si>
    <t>Thủy Tiên 0916815789</t>
  </si>
  <si>
    <t>NT.LETHITRAM</t>
  </si>
  <si>
    <t>NHÀ THUỐC LÊ THỊ TRÂM</t>
  </si>
  <si>
    <t>SN 32 đường 21B TDP Đinh Cựu TT Cổ lễ Trực Ninh, Nam Định</t>
  </si>
  <si>
    <t>Loan Phong: 0836302666</t>
  </si>
  <si>
    <t>Mr Thiện 0386379956</t>
  </si>
  <si>
    <t>CÔNG TY CỔ PHẦN DƯỢC PHẨM PHARMACITY</t>
  </si>
  <si>
    <t>Khu Công Nghiệp Hà Nội – Đài Tư, số 386 đường Nguyễn Văn Linh, Quận Long Biên, Hà Nội</t>
  </si>
  <si>
    <t>Ms/Mrs Kim Anh: (028) 71077997 - Ext: 1630</t>
  </si>
  <si>
    <t>CÔNG TY CỔ PHẦN DƯỢC PHẨM PHARMACITY Khu Công Nghiệp Hà Nội – Đài Tư, số 386 đường Nguyễn Văn Linh, Quận Long Biên, Hà Nội Ms/Mrs Kim Anh: (028) 71077997 - Ext: 1630</t>
  </si>
  <si>
    <t>PMC.HN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</si>
</sst>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_(* #,##0_);_(* \(#,##0\);_(* &quot;-&quot;??_);_(@_)"/>
    <numFmt numFmtId="165" formatCode="&quot;Số: &quot;@"/>
  </numFmts>
  <fonts count="15" x14ac:knownFonts="1">
    <font>
      <sz val="11"/>
      <color theme="1"/>
      <name val="Calibri"/>
      <family val="2"/>
      <scheme val="minor"/>
    </font>
    <font>
      <b/>
      <sz val="11"/>
      <color theme="1"/>
      <name val="Times New Roman"/>
      <family val="1"/>
      <charset val="163"/>
    </font>
    <font>
      <sz val="11"/>
      <color theme="1"/>
      <name val="Times New Roman"/>
      <family val="1"/>
      <charset val="163"/>
    </font>
    <font>
      <b/>
      <sz val="14"/>
      <color theme="1"/>
      <name val="Times New Roman"/>
      <family val="1"/>
      <charset val="163"/>
    </font>
    <font>
      <b/>
      <sz val="8"/>
      <name val="Times New Roman"/>
      <family val="1"/>
      <charset val="163"/>
    </font>
    <font>
      <sz val="11"/>
      <name val="Times New Roman"/>
      <family val="1"/>
      <charset val="163"/>
    </font>
    <font>
      <i/>
      <sz val="11"/>
      <color rgb="FFFF0000"/>
      <name val="Times New Roman"/>
      <family val="1"/>
      <charset val="163"/>
    </font>
    <font>
      <sz val="10"/>
      <name val="Arial"/>
      <family val="2"/>
      <charset val="163"/>
    </font>
    <font>
      <b/>
      <sz val="11"/>
      <name val="Times New Roman"/>
      <family val="1"/>
      <charset val="163"/>
    </font>
    <font>
      <sz val="11"/>
      <color indexed="8"/>
      <name val="Calibri"/>
      <family val="2"/>
      <charset val="163"/>
    </font>
    <font>
      <b/>
      <sz val="11"/>
      <color rgb="FFFF0000"/>
      <name val="Times New Roman"/>
      <family val="1"/>
      <charset val="163"/>
    </font>
    <font>
      <sz val="11"/>
      <color rgb="FFFF0000"/>
      <name val="Times New Roman"/>
      <family val="1"/>
      <charset val="163"/>
    </font>
    <font>
      <sz val="11"/>
      <color theme="1"/>
      <name val="Calibri"/>
      <family val="2"/>
      <scheme val="minor"/>
    </font>
    <font>
      <sz val="10"/>
      <color theme="1"/>
      <name val="Times New Roman"/>
      <family val="1"/>
      <charset val="163"/>
    </font>
    <font>
      <sz val="11"/>
      <color theme="0"/>
      <name val="Times New Roman"/>
      <family val="1"/>
      <charset val="163"/>
    </font>
  </fonts>
  <fills count="7">
    <fill>
      <patternFill patternType="none"/>
    </fill>
    <fill>
      <patternFill patternType="gray125"/>
    </fill>
    <fill>
      <patternFill patternType="solid">
        <fgColor indexed="9"/>
        <bgColor indexed="64"/>
      </patternFill>
    </fill>
    <fill>
      <patternFill patternType="solid">
        <fgColor rgb="FFFFFF00"/>
        <bgColor indexed="64"/>
      </patternFill>
    </fill>
    <fill>
      <patternFill patternType="solid">
        <fgColor theme="0"/>
        <bgColor indexed="64"/>
      </patternFill>
    </fill>
    <fill>
      <patternFill patternType="solid">
        <fgColor theme="6"/>
        <bgColor theme="6"/>
      </patternFill>
    </fill>
    <fill>
      <patternFill patternType="solid">
        <fgColor theme="6" tint="0.79998168889431442"/>
        <bgColor theme="6" tint="0.79998168889431442"/>
      </patternFill>
    </fill>
  </fills>
  <borders count="7">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indexed="64"/>
      </left>
      <right/>
      <top style="thin">
        <color indexed="64"/>
      </top>
      <bottom/>
      <diagonal/>
    </border>
    <border>
      <left style="thin">
        <color auto="1"/>
      </left>
      <right style="thin">
        <color theme="4" tint="0.39997558519241921"/>
      </right>
      <top style="thin">
        <color theme="4" tint="0.39997558519241921"/>
      </top>
      <bottom/>
      <diagonal/>
    </border>
    <border>
      <left/>
      <right/>
      <top style="thin">
        <color indexed="64"/>
      </top>
      <bottom/>
      <diagonal/>
    </border>
    <border>
      <left style="thin">
        <color auto="1"/>
      </left>
      <right style="thin">
        <color auto="1"/>
      </right>
      <top style="thin">
        <color auto="1"/>
      </top>
      <bottom/>
      <diagonal/>
    </border>
  </borders>
  <cellStyleXfs count="4">
    <xf numFmtId="0" fontId="0" fillId="0" borderId="0"/>
    <xf numFmtId="0" fontId="7" fillId="0" borderId="0"/>
    <xf numFmtId="0" fontId="9" fillId="0" borderId="0"/>
    <xf numFmtId="43" fontId="12" fillId="0" borderId="0" applyFont="0" applyFill="0" applyBorder="0" applyAlignment="0" applyProtection="0"/>
  </cellStyleXfs>
  <cellXfs count="78">
    <xf numFmtId="0" fontId="0" fillId="0" borderId="0" xfId="0"/>
    <xf numFmtId="0" fontId="2" fillId="0" borderId="0" xfId="0" applyFont="1"/>
    <xf numFmtId="0" fontId="1" fillId="0" borderId="0" xfId="0" applyFont="1" applyAlignment="1">
      <alignment horizontal="center"/>
    </xf>
    <xf numFmtId="0" fontId="4" fillId="0" borderId="1" xfId="0" applyFont="1" applyBorder="1" applyAlignment="1">
      <alignment horizontal="center" vertical="center" wrapText="1"/>
    </xf>
    <xf numFmtId="0" fontId="4" fillId="0" borderId="1" xfId="0" applyFont="1" applyBorder="1" applyAlignment="1">
      <alignment horizontal="center" vertical="center"/>
    </xf>
    <xf numFmtId="0" fontId="2" fillId="0" borderId="1" xfId="0" applyFont="1" applyBorder="1"/>
    <xf numFmtId="0" fontId="2" fillId="0" borderId="1" xfId="0" applyFont="1" applyBorder="1" applyAlignment="1">
      <alignment horizontal="center" vertical="center"/>
    </xf>
    <xf numFmtId="0" fontId="2" fillId="0" borderId="1" xfId="0" applyFont="1" applyBorder="1" applyAlignment="1">
      <alignment horizontal="center" vertical="center" shrinkToFit="1"/>
    </xf>
    <xf numFmtId="0" fontId="2" fillId="0" borderId="1" xfId="0" applyFont="1" applyBorder="1" applyAlignment="1">
      <alignment vertical="center" shrinkToFit="1"/>
    </xf>
    <xf numFmtId="0" fontId="4" fillId="0" borderId="1" xfId="0" applyFont="1" applyBorder="1" applyAlignment="1">
      <alignment horizontal="center" vertical="center" shrinkToFit="1"/>
    </xf>
    <xf numFmtId="0" fontId="2" fillId="0" borderId="1" xfId="0" applyFont="1" applyBorder="1" applyAlignment="1">
      <alignment shrinkToFit="1"/>
    </xf>
    <xf numFmtId="0" fontId="2" fillId="0" borderId="0" xfId="0" applyFont="1" applyBorder="1"/>
    <xf numFmtId="0" fontId="2" fillId="3" borderId="0" xfId="0" applyFont="1" applyFill="1"/>
    <xf numFmtId="0" fontId="2" fillId="0" borderId="1" xfId="0" applyFont="1" applyBorder="1" applyAlignment="1">
      <alignment horizontal="left" wrapText="1"/>
    </xf>
    <xf numFmtId="0" fontId="2" fillId="0" borderId="0" xfId="0" applyFont="1" applyBorder="1" applyAlignment="1">
      <alignment horizontal="center" vertical="center"/>
    </xf>
    <xf numFmtId="0" fontId="4" fillId="0" borderId="0" xfId="0" applyFont="1" applyBorder="1" applyAlignment="1">
      <alignment horizontal="center" vertical="center" shrinkToFit="1"/>
    </xf>
    <xf numFmtId="0" fontId="2" fillId="0" borderId="0" xfId="0" applyFont="1" applyBorder="1" applyAlignment="1">
      <alignment horizontal="center" vertical="center" shrinkToFit="1"/>
    </xf>
    <xf numFmtId="3" fontId="2" fillId="0" borderId="0" xfId="0" applyNumberFormat="1" applyFont="1" applyBorder="1" applyAlignment="1">
      <alignment horizontal="right" vertical="center" shrinkToFit="1"/>
    </xf>
    <xf numFmtId="0" fontId="2" fillId="0" borderId="0" xfId="0" applyFont="1" applyBorder="1" applyAlignment="1">
      <alignment shrinkToFit="1"/>
    </xf>
    <xf numFmtId="0" fontId="5" fillId="2" borderId="0" xfId="0" applyFont="1" applyFill="1" applyBorder="1" applyAlignment="1">
      <alignment vertical="center"/>
    </xf>
    <xf numFmtId="0" fontId="8" fillId="2" borderId="0" xfId="1" applyFont="1" applyFill="1" applyAlignment="1">
      <alignment vertical="center"/>
    </xf>
    <xf numFmtId="0" fontId="5" fillId="2" borderId="0" xfId="1" applyFont="1" applyFill="1" applyAlignment="1">
      <alignment vertical="center"/>
    </xf>
    <xf numFmtId="0" fontId="5" fillId="2" borderId="0" xfId="1" applyFont="1" applyFill="1"/>
    <xf numFmtId="0" fontId="5" fillId="2" borderId="0" xfId="1" applyFont="1" applyFill="1" applyAlignment="1">
      <alignment horizontal="center" vertical="center"/>
    </xf>
    <xf numFmtId="0" fontId="5" fillId="2" borderId="0" xfId="1" applyFont="1" applyFill="1" applyAlignment="1">
      <alignment horizontal="center"/>
    </xf>
    <xf numFmtId="49" fontId="5" fillId="2" borderId="0" xfId="1" applyNumberFormat="1" applyFont="1" applyFill="1" applyAlignment="1"/>
    <xf numFmtId="0" fontId="5" fillId="0" borderId="0" xfId="1" applyFont="1"/>
    <xf numFmtId="49" fontId="2" fillId="0" borderId="1" xfId="0" applyNumberFormat="1" applyFont="1" applyBorder="1" applyAlignment="1">
      <alignment horizontal="right" vertical="center"/>
    </xf>
    <xf numFmtId="49" fontId="2" fillId="0" borderId="1" xfId="0" applyNumberFormat="1" applyFont="1" applyBorder="1" applyAlignment="1">
      <alignment horizontal="right" vertical="center" shrinkToFit="1"/>
    </xf>
    <xf numFmtId="0" fontId="11" fillId="0" borderId="0" xfId="0" applyFont="1"/>
    <xf numFmtId="164" fontId="2" fillId="3" borderId="0" xfId="3" applyNumberFormat="1" applyFont="1" applyFill="1" applyBorder="1" applyAlignment="1">
      <alignment horizontal="right" vertical="center"/>
    </xf>
    <xf numFmtId="0" fontId="13" fillId="0" borderId="0" xfId="0" applyFont="1"/>
    <xf numFmtId="0" fontId="2" fillId="4" borderId="1" xfId="0" applyFont="1" applyFill="1" applyBorder="1"/>
    <xf numFmtId="0" fontId="2" fillId="0" borderId="0" xfId="0" applyFont="1" applyAlignment="1">
      <alignment vertical="center"/>
    </xf>
    <xf numFmtId="0" fontId="14" fillId="0" borderId="0" xfId="0" applyFont="1" applyBorder="1" applyAlignment="1">
      <alignment vertical="center" shrinkToFit="1"/>
    </xf>
    <xf numFmtId="0" fontId="14" fillId="0" borderId="0" xfId="0" applyFont="1"/>
    <xf numFmtId="0" fontId="2" fillId="0" borderId="0" xfId="0" applyFont="1" applyAlignment="1">
      <alignment vertical="top"/>
    </xf>
    <xf numFmtId="0" fontId="14" fillId="0" borderId="0" xfId="0" applyFont="1" applyAlignment="1">
      <alignment vertical="top"/>
    </xf>
    <xf numFmtId="0" fontId="1" fillId="0" borderId="0" xfId="0" applyFont="1" applyAlignment="1">
      <alignment horizontal="center"/>
    </xf>
    <xf numFmtId="0" fontId="1" fillId="0" borderId="0" xfId="0" applyFont="1" applyAlignment="1"/>
    <xf numFmtId="0" fontId="2" fillId="0" borderId="0" xfId="0" applyNumberFormat="1" applyFont="1"/>
    <xf numFmtId="0" fontId="2" fillId="0" borderId="0" xfId="0" applyFont="1" applyAlignment="1" applyProtection="1">
      <alignment vertical="center"/>
    </xf>
    <xf numFmtId="0" fontId="11" fillId="0" borderId="0" xfId="0" applyFont="1" applyAlignment="1">
      <alignment vertical="center"/>
    </xf>
    <xf numFmtId="0" fontId="2" fillId="0" borderId="0" xfId="0" applyFont="1" applyAlignment="1">
      <alignment horizontal="center" vertical="center"/>
    </xf>
    <xf numFmtId="164" fontId="2" fillId="0" borderId="0" xfId="3" applyNumberFormat="1" applyFont="1" applyFill="1" applyBorder="1" applyAlignment="1">
      <alignment horizontal="right" vertical="center"/>
    </xf>
    <xf numFmtId="0" fontId="5" fillId="0" borderId="0" xfId="0" applyFont="1" applyAlignment="1">
      <alignment horizontal="right" vertical="center" shrinkToFit="1"/>
    </xf>
    <xf numFmtId="0" fontId="8" fillId="0" borderId="0" xfId="0" applyFont="1" applyAlignment="1">
      <alignment horizontal="left" vertical="center" shrinkToFit="1"/>
    </xf>
    <xf numFmtId="49" fontId="8" fillId="5" borderId="3" xfId="1" applyNumberFormat="1" applyFont="1" applyFill="1" applyBorder="1" applyAlignment="1">
      <alignment horizontal="center" vertical="center" wrapText="1"/>
    </xf>
    <xf numFmtId="0" fontId="8" fillId="5" borderId="4" xfId="1" applyNumberFormat="1" applyFont="1" applyFill="1" applyBorder="1" applyAlignment="1">
      <alignment vertical="center"/>
    </xf>
    <xf numFmtId="49" fontId="8" fillId="5" borderId="5" xfId="1" applyNumberFormat="1" applyFont="1" applyFill="1" applyBorder="1" applyAlignment="1">
      <alignment horizontal="center" vertical="center" wrapText="1"/>
    </xf>
    <xf numFmtId="0" fontId="5" fillId="6" borderId="1" xfId="1" applyNumberFormat="1" applyFont="1" applyFill="1" applyBorder="1" applyAlignment="1">
      <alignment horizontal="right" vertical="center"/>
    </xf>
    <xf numFmtId="0" fontId="5" fillId="6" borderId="1" xfId="1" applyNumberFormat="1" applyFont="1" applyFill="1" applyBorder="1" applyAlignment="1">
      <alignment horizontal="left" vertical="center" wrapText="1"/>
    </xf>
    <xf numFmtId="49" fontId="5" fillId="6" borderId="1" xfId="1" applyNumberFormat="1" applyFont="1" applyFill="1" applyBorder="1" applyAlignment="1">
      <alignment horizontal="left" vertical="center" wrapText="1"/>
    </xf>
    <xf numFmtId="0" fontId="5" fillId="6" borderId="1" xfId="1" applyNumberFormat="1" applyFont="1" applyFill="1" applyBorder="1" applyAlignment="1">
      <alignment vertical="center"/>
    </xf>
    <xf numFmtId="0" fontId="5" fillId="0" borderId="1" xfId="1" applyNumberFormat="1" applyFont="1" applyBorder="1" applyAlignment="1">
      <alignment horizontal="right" vertical="center"/>
    </xf>
    <xf numFmtId="0" fontId="5" fillId="0" borderId="1" xfId="1" applyNumberFormat="1" applyFont="1" applyBorder="1" applyAlignment="1">
      <alignment horizontal="left" vertical="center" wrapText="1"/>
    </xf>
    <xf numFmtId="49" fontId="5" fillId="0" borderId="1" xfId="1" applyNumberFormat="1" applyFont="1" applyBorder="1" applyAlignment="1">
      <alignment horizontal="left" vertical="center" wrapText="1"/>
    </xf>
    <xf numFmtId="0" fontId="5" fillId="0" borderId="1" xfId="1" applyNumberFormat="1" applyFont="1" applyBorder="1" applyAlignment="1">
      <alignment vertical="center"/>
    </xf>
    <xf numFmtId="0" fontId="5" fillId="6" borderId="1" xfId="1" applyNumberFormat="1" applyFont="1" applyFill="1" applyBorder="1" applyAlignment="1">
      <alignment horizontal="center"/>
    </xf>
    <xf numFmtId="0" fontId="5" fillId="0" borderId="1" xfId="1" applyNumberFormat="1" applyFont="1" applyBorder="1" applyAlignment="1">
      <alignment horizontal="center"/>
    </xf>
    <xf numFmtId="0" fontId="5" fillId="0" borderId="1" xfId="1" applyFont="1" applyBorder="1" applyAlignment="1">
      <alignment horizontal="left" vertical="center" wrapText="1"/>
    </xf>
    <xf numFmtId="0" fontId="5" fillId="0" borderId="1" xfId="1" applyFont="1" applyBorder="1" applyAlignment="1">
      <alignment vertical="center"/>
    </xf>
    <xf numFmtId="0" fontId="5" fillId="2" borderId="6" xfId="1" applyFont="1" applyFill="1" applyBorder="1"/>
    <xf numFmtId="0" fontId="2" fillId="0" borderId="0" xfId="0" applyFont="1" applyAlignment="1">
      <alignment horizontal="left"/>
    </xf>
    <xf numFmtId="0" fontId="2" fillId="0" borderId="0" xfId="0" applyFont="1" applyAlignment="1">
      <alignment horizontal="left" vertical="center" wrapText="1"/>
    </xf>
    <xf numFmtId="0" fontId="8" fillId="0" borderId="0" xfId="0" applyFont="1" applyAlignment="1">
      <alignment horizontal="center" vertical="center" shrinkToFit="1"/>
    </xf>
    <xf numFmtId="0" fontId="5" fillId="0" borderId="0" xfId="0" applyFont="1" applyAlignment="1">
      <alignment horizontal="left" vertical="center" wrapText="1" shrinkToFit="1"/>
    </xf>
    <xf numFmtId="0" fontId="5" fillId="0" borderId="0" xfId="0" applyFont="1" applyAlignment="1">
      <alignment horizontal="left" vertical="center" shrinkToFit="1"/>
    </xf>
    <xf numFmtId="0" fontId="1" fillId="0" borderId="0" xfId="0" applyFont="1" applyAlignment="1">
      <alignment horizontal="center"/>
    </xf>
    <xf numFmtId="0" fontId="2" fillId="0" borderId="0" xfId="0" applyFont="1" applyAlignment="1">
      <alignment horizontal="left" vertical="top" wrapText="1"/>
    </xf>
    <xf numFmtId="0" fontId="2" fillId="0" borderId="0" xfId="0" applyFont="1" applyAlignment="1">
      <alignment horizontal="center"/>
    </xf>
    <xf numFmtId="0" fontId="6" fillId="0" borderId="0" xfId="0" applyNumberFormat="1" applyFont="1" applyAlignment="1">
      <alignment horizontal="right"/>
    </xf>
    <xf numFmtId="0" fontId="3" fillId="0" borderId="0" xfId="0" applyFont="1" applyAlignment="1">
      <alignment horizontal="center"/>
    </xf>
    <xf numFmtId="165" fontId="10" fillId="0" borderId="0" xfId="0" applyNumberFormat="1" applyFont="1" applyAlignment="1">
      <alignment horizontal="center"/>
    </xf>
    <xf numFmtId="0" fontId="2" fillId="0" borderId="2" xfId="0" applyFont="1" applyBorder="1" applyAlignment="1">
      <alignment horizontal="left" vertical="center" wrapText="1"/>
    </xf>
    <xf numFmtId="0" fontId="2" fillId="0" borderId="0" xfId="0" applyFont="1" applyBorder="1" applyAlignment="1">
      <alignment horizontal="left" vertical="center" wrapText="1"/>
    </xf>
    <xf numFmtId="0" fontId="2" fillId="0" borderId="0" xfId="0" applyFont="1" applyAlignment="1">
      <alignment horizontal="left" vertical="center"/>
    </xf>
    <xf numFmtId="0" fontId="2" fillId="0" borderId="0" xfId="0" applyFont="1" applyAlignment="1">
      <alignment horizontal="left" vertical="top"/>
    </xf>
  </cellXfs>
  <cellStyles count="4">
    <cellStyle name="Comma" xfId="3" builtinId="3"/>
    <cellStyle name="Normal" xfId="0" builtinId="0"/>
    <cellStyle name="Normal 2" xfId="1" xr:uid="{00000000-0005-0000-0000-000002000000}"/>
    <cellStyle name="Normal 4" xfId="2" xr:uid="{00000000-0005-0000-0000-000003000000}"/>
  </cellStyles>
  <dxfs count="14">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auto="1"/>
        </left>
        <bottom style="thin">
          <color auto="1"/>
        </bottom>
      </border>
    </dxf>
    <dxf>
      <font>
        <b/>
        <i val="0"/>
        <strike val="0"/>
        <condense val="0"/>
        <extend val="0"/>
        <outline val="0"/>
        <shadow val="0"/>
        <u val="none"/>
        <vertAlign val="baseline"/>
        <sz val="11"/>
        <color auto="1"/>
        <name val="Times New Roman"/>
        <family val="1"/>
        <charset val="163"/>
        <scheme val="none"/>
      </font>
      <numFmt numFmtId="30" formatCode="@"/>
      <fill>
        <patternFill patternType="solid">
          <fgColor theme="6"/>
          <bgColor theme="6"/>
        </patternFill>
      </fill>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19050</xdr:colOff>
          <xdr:row>15</xdr:row>
          <xdr:rowOff>76200</xdr:rowOff>
        </xdr:from>
        <xdr:to>
          <xdr:col>10</xdr:col>
          <xdr:colOff>0</xdr:colOff>
          <xdr:row>17</xdr:row>
          <xdr:rowOff>28575</xdr:rowOff>
        </xdr:to>
        <xdr:sp macro="" textlink="">
          <xdr:nvSpPr>
            <xdr:cNvPr id="1027" name="CommandButton1"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13</xdr:col>
      <xdr:colOff>114300</xdr:colOff>
      <xdr:row>15</xdr:row>
      <xdr:rowOff>28575</xdr:rowOff>
    </xdr:from>
    <xdr:to>
      <xdr:col>15</xdr:col>
      <xdr:colOff>9525</xdr:colOff>
      <xdr:row>17</xdr:row>
      <xdr:rowOff>0</xdr:rowOff>
    </xdr:to>
    <xdr:sp macro="[0]!Sheet1.printPO" textlink="">
      <xdr:nvSpPr>
        <xdr:cNvPr id="2" name="Rounded Rectangle 1">
          <a:extLst>
            <a:ext uri="{FF2B5EF4-FFF2-40B4-BE49-F238E27FC236}">
              <a16:creationId xmlns:a16="http://schemas.microsoft.com/office/drawing/2014/main" id="{00000000-0008-0000-0000-000002000000}"/>
            </a:ext>
          </a:extLst>
        </xdr:cNvPr>
        <xdr:cNvSpPr/>
      </xdr:nvSpPr>
      <xdr:spPr>
        <a:xfrm>
          <a:off x="10163175" y="4114800"/>
          <a:ext cx="1114425"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0000"/>
              </a:solidFill>
            </a:rPr>
            <a:t>PRINT</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17A157E-F9A2-4B95-BD7F-ABF9EE1561B7}" name="ds_contact" displayName="ds_contact" ref="A1:G92" totalsRowShown="0" headerRowDxfId="8" tableBorderDxfId="7" headerRowCellStyle="Normal 2">
  <autoFilter ref="A1:G92" xr:uid="{CDD6D5F0-08F6-4732-834E-BCAB60CCBA10}"/>
  <tableColumns count="7">
    <tableColumn id="1" xr3:uid="{847A4681-703E-4FDF-8019-872C7CFA644F}" name="STT" dataDxfId="6">
      <calculatedColumnFormula>IF(B2="","",SUBTOTAL(3,$B$2:B2))</calculatedColumnFormula>
    </tableColumn>
    <tableColumn id="2" xr3:uid="{C6B5A8D9-9EEB-4122-90E1-4869B34F88E8}" name="CODE" dataDxfId="5"/>
    <tableColumn id="3" xr3:uid="{DED6C99C-1D8E-42A6-8F04-BA2AEC1178B7}" name="NOTE" dataDxfId="4"/>
    <tableColumn id="4" xr3:uid="{3539D249-0C95-4BAC-8113-008D4E872D20}" name="DON_VI_NHAN_HANG" dataDxfId="3"/>
    <tableColumn id="5" xr3:uid="{A6B18BEB-01D2-4604-8EE3-DDC13935C219}" name="DIA_CHI_NHAN_HANG" dataDxfId="2"/>
    <tableColumn id="6" xr3:uid="{13533225-0ECF-4633-AECA-388E81843118}" name="NGUOI_LIEN_HE" dataDxfId="1"/>
    <tableColumn id="7" xr3:uid="{CFA73AAC-3D69-4211-94C2-415866FEA809}" name="Column1" dataDxfId="0">
      <calculatedColumnFormula>D2&amp;" "
&amp;E2&amp;
" "&amp;F2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89"/>
  <sheetViews>
    <sheetView tabSelected="1" zoomScaleNormal="100" workbookViewId="0">
      <selection activeCell="B20" sqref="B20"/>
    </sheetView>
  </sheetViews>
  <sheetFormatPr defaultRowHeight="15" x14ac:dyDescent="0.25"/>
  <cols>
    <col min="1" max="1" width="11" style="1" customWidth="1"/>
    <col min="2" max="2" width="39.140625" style="1" customWidth="1"/>
    <col min="3" max="3" width="16.140625" style="1" customWidth="1"/>
    <col min="4" max="4" width="9.140625" style="1"/>
    <col min="5" max="5" width="11.7109375" style="1" customWidth="1"/>
    <col min="6" max="7" width="11.7109375" style="1" hidden="1" customWidth="1"/>
    <col min="8" max="8" width="10.7109375" style="1" customWidth="1"/>
    <col min="9" max="9" width="4.7109375" style="1" customWidth="1"/>
    <col min="10" max="10" width="14.42578125" style="1" bestFit="1" customWidth="1"/>
    <col min="11" max="11" width="16.5703125" style="1" customWidth="1"/>
    <col min="12" max="12" width="9.42578125" style="1" customWidth="1"/>
    <col min="13" max="13" width="7.7109375" style="1" customWidth="1"/>
    <col min="14" max="14" width="9.140625" style="1" customWidth="1"/>
    <col min="15" max="16384" width="9.140625" style="1"/>
  </cols>
  <sheetData>
    <row r="1" spans="1:11" x14ac:dyDescent="0.25">
      <c r="B1" s="68" t="s">
        <v>0</v>
      </c>
      <c r="C1" s="68"/>
      <c r="D1" s="68"/>
      <c r="E1" s="68"/>
      <c r="F1" s="39"/>
      <c r="G1" s="39"/>
      <c r="H1" s="39"/>
    </row>
    <row r="2" spans="1:11" x14ac:dyDescent="0.25">
      <c r="A2" s="70" t="s">
        <v>1</v>
      </c>
      <c r="B2" s="70"/>
      <c r="C2" s="70"/>
      <c r="D2" s="70"/>
      <c r="E2" s="70"/>
      <c r="F2" s="70"/>
      <c r="G2" s="70"/>
      <c r="H2" s="70"/>
    </row>
    <row r="3" spans="1:11" x14ac:dyDescent="0.25">
      <c r="A3" s="70" t="s">
        <v>2</v>
      </c>
      <c r="B3" s="70"/>
      <c r="C3" s="70"/>
      <c r="D3" s="70"/>
      <c r="E3" s="70"/>
      <c r="F3" s="70"/>
      <c r="G3" s="70"/>
      <c r="H3" s="70"/>
      <c r="J3" s="1" t="s">
        <v>262</v>
      </c>
      <c r="K3" s="1" t="s">
        <v>450</v>
      </c>
    </row>
    <row r="4" spans="1:11" x14ac:dyDescent="0.25">
      <c r="A4" s="71" t="str">
        <f>"Ngày "&amp;LEFT(K5,2)&amp;" tháng "&amp;RIGHT(K5,2)&amp;" năm 2023"</f>
        <v>Ngày 20 tháng 02 năm 2023</v>
      </c>
      <c r="B4" s="71"/>
      <c r="C4" s="71"/>
      <c r="D4" s="71"/>
      <c r="E4" s="71"/>
      <c r="F4" s="71"/>
      <c r="G4" s="71"/>
      <c r="H4" s="71"/>
      <c r="J4" s="1" t="s">
        <v>261</v>
      </c>
      <c r="K4" s="1" t="s">
        <v>260</v>
      </c>
    </row>
    <row r="5" spans="1:11" ht="18.75" x14ac:dyDescent="0.3">
      <c r="A5" s="72" t="s">
        <v>3</v>
      </c>
      <c r="B5" s="72"/>
      <c r="C5" s="72"/>
      <c r="D5" s="72"/>
      <c r="E5" s="72"/>
      <c r="F5" s="72"/>
      <c r="G5" s="72"/>
      <c r="H5" s="72"/>
      <c r="K5" s="40" t="str">
        <f>MID(A6, SEARCH(" ", A6) + 1, FIND(" ", A6, SEARCH(" ", A6) + 1) - SEARCH(" ", A6) - 1)</f>
        <v>2002</v>
      </c>
    </row>
    <row r="6" spans="1:11" x14ac:dyDescent="0.25">
      <c r="A6" s="73" t="s">
        <v>395</v>
      </c>
      <c r="B6" s="73"/>
      <c r="C6" s="73"/>
      <c r="D6" s="73"/>
      <c r="E6" s="73"/>
      <c r="F6" s="73"/>
      <c r="G6" s="73"/>
      <c r="H6" s="73"/>
      <c r="K6" s="1">
        <f>MATCH(BBGH!J10,contact!$B:$B,)</f>
        <v>19</v>
      </c>
    </row>
    <row r="7" spans="1:11" x14ac:dyDescent="0.25">
      <c r="A7" s="2"/>
      <c r="B7" s="2"/>
      <c r="C7" s="2"/>
      <c r="D7" s="2"/>
      <c r="E7" s="2"/>
      <c r="F7" s="38"/>
      <c r="G7" s="38"/>
      <c r="J7" s="12" t="e">
        <f ca="1">kenh(J8)</f>
        <v>#NAME?</v>
      </c>
    </row>
    <row r="8" spans="1:11" s="33" customFormat="1" ht="50.1" customHeight="1" x14ac:dyDescent="0.25">
      <c r="A8" s="64" t="s">
        <v>396</v>
      </c>
      <c r="B8" s="64"/>
      <c r="C8" s="64"/>
      <c r="D8" s="64"/>
      <c r="E8" s="64"/>
      <c r="F8" s="64"/>
      <c r="G8" s="64"/>
      <c r="H8" s="64"/>
      <c r="J8" s="41" t="s">
        <v>211</v>
      </c>
      <c r="K8" s="42" t="str">
        <f>IFERROR(INDEX(contact!$D:$D,MATCH(BBGH!J10,contact!$B:$B,)),"")</f>
        <v>CÔNG TY DƯỢC PHẨM ĐÔNG Á</v>
      </c>
    </row>
    <row r="9" spans="1:11" x14ac:dyDescent="0.25">
      <c r="K9" s="29" t="str">
        <f>IFERROR(INDEX(contact!$E:$E,MATCH(BBGH!J10,contact!$B:$B,)),"")</f>
        <v>Lô 1-1, cụm 1, đường M14, KCN Tân Bình mở rộng, P.Bình Hưng Hòa, Q.Bình Tân, Tp. Hồ Chí Minh</v>
      </c>
    </row>
    <row r="10" spans="1:11" s="33" customFormat="1" ht="59.25" customHeight="1" x14ac:dyDescent="0.25">
      <c r="A10" s="64" t="s">
        <v>451</v>
      </c>
      <c r="B10" s="64"/>
      <c r="C10" s="64"/>
      <c r="D10" s="64"/>
      <c r="E10" s="64"/>
      <c r="F10" s="64"/>
      <c r="G10" s="64"/>
      <c r="H10" s="64"/>
      <c r="J10" s="42" t="str">
        <f>J8</f>
        <v>DAP.MN</v>
      </c>
      <c r="K10" s="42" t="str">
        <f>IFERROR(INDEX(contact!$F:$F,MATCH(BBGH!J10,contact!$B:$B,)),"")</f>
        <v>Anh Lê Bảo Thạc: 0813995463 / Ms Nhỏ: 0947711004</v>
      </c>
    </row>
    <row r="11" spans="1:11" hidden="1" x14ac:dyDescent="0.25"/>
    <row r="12" spans="1:11" hidden="1" x14ac:dyDescent="0.25">
      <c r="A12" s="1" t="s">
        <v>7</v>
      </c>
      <c r="B12" s="19" t="s">
        <v>124</v>
      </c>
      <c r="C12" s="19"/>
      <c r="D12" s="19"/>
      <c r="E12" s="19"/>
      <c r="F12" s="19"/>
      <c r="G12" s="19"/>
      <c r="H12" s="19"/>
    </row>
    <row r="13" spans="1:11" ht="15" hidden="1" customHeight="1" x14ac:dyDescent="0.25">
      <c r="A13" s="76" t="s">
        <v>6</v>
      </c>
      <c r="B13" s="75" t="s">
        <v>126</v>
      </c>
      <c r="C13" s="75"/>
      <c r="D13" s="75"/>
      <c r="E13" s="75"/>
      <c r="F13" s="75"/>
      <c r="G13" s="75"/>
      <c r="H13" s="75"/>
    </row>
    <row r="14" spans="1:11" hidden="1" x14ac:dyDescent="0.25">
      <c r="A14" s="76"/>
      <c r="B14" s="75"/>
      <c r="C14" s="75"/>
      <c r="D14" s="75"/>
      <c r="E14" s="75"/>
      <c r="F14" s="75"/>
      <c r="G14" s="75"/>
      <c r="H14" s="75"/>
      <c r="J14" s="1" t="str">
        <f>IFERROR(RIGHT(J13,LEN(J13)-FIND(" ",J13)),"")</f>
        <v/>
      </c>
      <c r="K14" s="29" t="str">
        <f>K8&amp;" "
&amp;K9&amp;" "&amp;K10</f>
        <v>CÔNG TY DƯỢC PHẨM ĐÔNG Á Lô 1-1, cụm 1, đường M14, KCN Tân Bình mở rộng, P.Bình Hưng Hòa, Q.Bình Tân, Tp. Hồ Chí Minh Anh Lê Bảo Thạc: 0813995463 / Ms Nhỏ: 0947711004</v>
      </c>
    </row>
    <row r="15" spans="1:11" ht="29.25" hidden="1" customHeight="1" x14ac:dyDescent="0.25">
      <c r="A15" s="33" t="s">
        <v>80</v>
      </c>
      <c r="B15" s="75" t="s">
        <v>272</v>
      </c>
      <c r="C15" s="75"/>
      <c r="D15" s="75"/>
      <c r="E15" s="75"/>
      <c r="F15" s="75"/>
      <c r="G15" s="75"/>
      <c r="H15" s="75"/>
      <c r="K15" s="40" t="str">
        <f>A6&amp;" "&amp;L17&amp;" "&amp;COUNTIF(B19:B78,"&lt;&gt;")</f>
        <v>023 2002 DAP.MN 0 0</v>
      </c>
    </row>
    <row r="16" spans="1:11" ht="15" customHeight="1" x14ac:dyDescent="0.25">
      <c r="A16" s="64" t="s">
        <v>450</v>
      </c>
      <c r="B16" s="64"/>
      <c r="C16" s="64"/>
      <c r="D16" s="64"/>
      <c r="E16" s="64"/>
      <c r="F16" s="64"/>
      <c r="G16" s="64"/>
      <c r="H16" s="64"/>
      <c r="K16" s="29" t="str">
        <f>A6&amp;" : "&amp;L17&amp;"K + "&amp;M17&amp;"LE"</f>
        <v>023 2002 DAP.MN : 0K + 0LE</v>
      </c>
    </row>
    <row r="17" spans="1:15" x14ac:dyDescent="0.25">
      <c r="A17" s="74"/>
      <c r="B17" s="74"/>
      <c r="C17" s="74"/>
      <c r="D17" s="74"/>
      <c r="E17" s="74"/>
      <c r="F17" s="74"/>
      <c r="G17" s="74"/>
      <c r="H17" s="74"/>
      <c r="J17" s="12"/>
      <c r="K17" s="12"/>
      <c r="L17" s="30">
        <f>SUM(L19:L78)</f>
        <v>0</v>
      </c>
      <c r="M17" s="30">
        <f>SUM(M19:M78)</f>
        <v>0</v>
      </c>
      <c r="N17" s="30">
        <f>SUM(N19:N78)</f>
        <v>0</v>
      </c>
    </row>
    <row r="18" spans="1:15" ht="21" x14ac:dyDescent="0.25">
      <c r="A18" s="3" t="s">
        <v>11</v>
      </c>
      <c r="B18" s="3" t="s">
        <v>12</v>
      </c>
      <c r="C18" s="4" t="s">
        <v>13</v>
      </c>
      <c r="D18" s="3" t="s">
        <v>14</v>
      </c>
      <c r="E18" s="3" t="s">
        <v>15</v>
      </c>
      <c r="F18" s="3"/>
      <c r="G18" s="3"/>
      <c r="H18" s="3" t="s">
        <v>16</v>
      </c>
      <c r="J18" s="6"/>
      <c r="K18" s="6" t="s">
        <v>17</v>
      </c>
      <c r="L18" s="6" t="s">
        <v>18</v>
      </c>
      <c r="M18" s="6" t="s">
        <v>19</v>
      </c>
      <c r="N18" s="5"/>
      <c r="O18" s="32" t="s">
        <v>239</v>
      </c>
    </row>
    <row r="19" spans="1:15" x14ac:dyDescent="0.25">
      <c r="A19" s="6" t="s">
        <v>20</v>
      </c>
      <c r="B19" s="8"/>
      <c r="C19" s="4"/>
      <c r="D19" s="6"/>
      <c r="E19" s="27"/>
      <c r="F19" s="27"/>
      <c r="G19" s="27"/>
      <c r="H19" s="5"/>
      <c r="J19" s="5"/>
      <c r="K19" s="6"/>
      <c r="L19" s="5" t="str">
        <f t="shared" ref="L19:L50" si="0">IFERROR(VALUE(LEFT(H19,SEARCH("k",H19)-1)),"")</f>
        <v/>
      </c>
      <c r="M19" s="5" t="str">
        <f t="shared" ref="M19:M50" si="1">IFERROR(IF((SEARCH("+lẻ",H19))&gt;0,1,0),"")</f>
        <v/>
      </c>
      <c r="N19" s="5" t="str">
        <f>IFERROR(VALUE(SUBSTITUTE(E19,".","")),"")</f>
        <v/>
      </c>
      <c r="O19" s="5" t="str">
        <f>IFERROR(VLOOKUP(B19,#REF!,3,0),"")</f>
        <v/>
      </c>
    </row>
    <row r="20" spans="1:15" x14ac:dyDescent="0.25">
      <c r="A20" s="6" t="s">
        <v>21</v>
      </c>
      <c r="B20" s="8"/>
      <c r="C20" s="4"/>
      <c r="D20" s="6"/>
      <c r="E20" s="27"/>
      <c r="F20" s="27"/>
      <c r="G20" s="27"/>
      <c r="H20" s="5"/>
      <c r="J20" s="5"/>
      <c r="K20" s="6"/>
      <c r="L20" s="5" t="str">
        <f t="shared" si="0"/>
        <v/>
      </c>
      <c r="M20" s="5" t="str">
        <f t="shared" si="1"/>
        <v/>
      </c>
      <c r="N20" s="5" t="str">
        <f>IFERROR(VALUE(SUBSTITUTE(E20,".","")),"")</f>
        <v/>
      </c>
      <c r="O20" s="5" t="str">
        <f>IFERROR(VLOOKUP(B20,#REF!,3,0),"")</f>
        <v/>
      </c>
    </row>
    <row r="21" spans="1:15" x14ac:dyDescent="0.25">
      <c r="A21" s="6" t="s">
        <v>22</v>
      </c>
      <c r="B21" s="8"/>
      <c r="C21" s="4"/>
      <c r="D21" s="6"/>
      <c r="E21" s="27"/>
      <c r="F21" s="27"/>
      <c r="G21" s="27"/>
      <c r="H21" s="5"/>
      <c r="J21" s="5"/>
      <c r="K21" s="6"/>
      <c r="L21" s="5" t="str">
        <f t="shared" si="0"/>
        <v/>
      </c>
      <c r="M21" s="5" t="str">
        <f t="shared" si="1"/>
        <v/>
      </c>
      <c r="N21" s="5" t="str">
        <f t="shared" ref="N21:N78" si="2">IFERROR(VALUE(SUBSTITUTE(E21,".","")),"")</f>
        <v/>
      </c>
      <c r="O21" s="5" t="str">
        <f>IFERROR(VLOOKUP(B21,#REF!,3,0),"")</f>
        <v/>
      </c>
    </row>
    <row r="22" spans="1:15" x14ac:dyDescent="0.25">
      <c r="A22" s="6" t="s">
        <v>23</v>
      </c>
      <c r="B22" s="8"/>
      <c r="C22" s="4"/>
      <c r="D22" s="6"/>
      <c r="E22" s="27"/>
      <c r="F22" s="27"/>
      <c r="G22" s="27"/>
      <c r="H22" s="5"/>
      <c r="J22" s="5"/>
      <c r="K22" s="6"/>
      <c r="L22" s="5" t="str">
        <f t="shared" si="0"/>
        <v/>
      </c>
      <c r="M22" s="5" t="str">
        <f t="shared" si="1"/>
        <v/>
      </c>
      <c r="N22" s="5" t="str">
        <f t="shared" si="2"/>
        <v/>
      </c>
      <c r="O22" s="5" t="str">
        <f>IFERROR(VLOOKUP(B22,#REF!,3,0),"")</f>
        <v/>
      </c>
    </row>
    <row r="23" spans="1:15" x14ac:dyDescent="0.25">
      <c r="A23" s="6" t="s">
        <v>24</v>
      </c>
      <c r="B23" s="8"/>
      <c r="C23" s="4"/>
      <c r="D23" s="6"/>
      <c r="E23" s="27"/>
      <c r="F23" s="27"/>
      <c r="G23" s="27"/>
      <c r="H23" s="5"/>
      <c r="J23" s="5"/>
      <c r="K23" s="6"/>
      <c r="L23" s="5" t="str">
        <f t="shared" si="0"/>
        <v/>
      </c>
      <c r="M23" s="5" t="str">
        <f t="shared" si="1"/>
        <v/>
      </c>
      <c r="N23" s="5" t="str">
        <f t="shared" si="2"/>
        <v/>
      </c>
      <c r="O23" s="5" t="str">
        <f>IFERROR(VLOOKUP(B23,#REF!,3,0),"")</f>
        <v/>
      </c>
    </row>
    <row r="24" spans="1:15" x14ac:dyDescent="0.25">
      <c r="A24" s="6" t="s">
        <v>25</v>
      </c>
      <c r="B24" s="8"/>
      <c r="C24" s="4"/>
      <c r="D24" s="6"/>
      <c r="E24" s="27"/>
      <c r="F24" s="27"/>
      <c r="G24" s="27"/>
      <c r="H24" s="5"/>
      <c r="J24" s="5"/>
      <c r="K24" s="6"/>
      <c r="L24" s="5" t="str">
        <f t="shared" si="0"/>
        <v/>
      </c>
      <c r="M24" s="5" t="str">
        <f t="shared" si="1"/>
        <v/>
      </c>
      <c r="N24" s="5" t="str">
        <f t="shared" si="2"/>
        <v/>
      </c>
      <c r="O24" s="5" t="str">
        <f>IFERROR(VLOOKUP(B24,#REF!,3,0),"")</f>
        <v/>
      </c>
    </row>
    <row r="25" spans="1:15" x14ac:dyDescent="0.25">
      <c r="A25" s="6" t="s">
        <v>26</v>
      </c>
      <c r="B25" s="8"/>
      <c r="C25" s="4"/>
      <c r="D25" s="6"/>
      <c r="E25" s="27"/>
      <c r="F25" s="27"/>
      <c r="G25" s="27"/>
      <c r="H25" s="13"/>
      <c r="J25" s="5"/>
      <c r="K25" s="6"/>
      <c r="L25" s="5" t="str">
        <f t="shared" si="0"/>
        <v/>
      </c>
      <c r="M25" s="5" t="str">
        <f t="shared" si="1"/>
        <v/>
      </c>
      <c r="N25" s="5" t="str">
        <f t="shared" si="2"/>
        <v/>
      </c>
      <c r="O25" s="5" t="str">
        <f>IFERROR(VLOOKUP(B25,#REF!,3,0),"")</f>
        <v/>
      </c>
    </row>
    <row r="26" spans="1:15" x14ac:dyDescent="0.25">
      <c r="A26" s="6" t="s">
        <v>27</v>
      </c>
      <c r="B26" s="8"/>
      <c r="C26" s="9"/>
      <c r="D26" s="7"/>
      <c r="E26" s="28"/>
      <c r="F26" s="28"/>
      <c r="G26" s="28"/>
      <c r="H26" s="10"/>
      <c r="J26" s="5"/>
      <c r="K26" s="5"/>
      <c r="L26" s="5" t="str">
        <f t="shared" si="0"/>
        <v/>
      </c>
      <c r="M26" s="5" t="str">
        <f t="shared" si="1"/>
        <v/>
      </c>
      <c r="N26" s="5" t="str">
        <f t="shared" si="2"/>
        <v/>
      </c>
      <c r="O26" s="5" t="str">
        <f>IFERROR(VLOOKUP(B26,#REF!,3,0),"")</f>
        <v/>
      </c>
    </row>
    <row r="27" spans="1:15" x14ac:dyDescent="0.25">
      <c r="A27" s="6" t="s">
        <v>28</v>
      </c>
      <c r="B27" s="8"/>
      <c r="C27" s="4"/>
      <c r="D27" s="6"/>
      <c r="E27" s="27"/>
      <c r="F27" s="27"/>
      <c r="G27" s="27"/>
      <c r="H27" s="5"/>
      <c r="J27" s="5"/>
      <c r="K27" s="6"/>
      <c r="L27" s="5" t="str">
        <f t="shared" si="0"/>
        <v/>
      </c>
      <c r="M27" s="5" t="str">
        <f t="shared" si="1"/>
        <v/>
      </c>
      <c r="N27" s="5" t="str">
        <f t="shared" si="2"/>
        <v/>
      </c>
      <c r="O27" s="5" t="str">
        <f>IFERROR(VLOOKUP(B27,#REF!,3,0),"")</f>
        <v/>
      </c>
    </row>
    <row r="28" spans="1:15" x14ac:dyDescent="0.25">
      <c r="A28" s="6" t="s">
        <v>29</v>
      </c>
      <c r="B28" s="8"/>
      <c r="C28" s="4"/>
      <c r="D28" s="6"/>
      <c r="E28" s="27"/>
      <c r="F28" s="27"/>
      <c r="G28" s="27"/>
      <c r="H28" s="5"/>
      <c r="J28" s="5"/>
      <c r="K28" s="6"/>
      <c r="L28" s="5" t="str">
        <f t="shared" si="0"/>
        <v/>
      </c>
      <c r="M28" s="5" t="str">
        <f t="shared" si="1"/>
        <v/>
      </c>
      <c r="N28" s="5" t="str">
        <f t="shared" si="2"/>
        <v/>
      </c>
      <c r="O28" s="5" t="str">
        <f>IFERROR(VLOOKUP(B28,#REF!,3,0),"")</f>
        <v/>
      </c>
    </row>
    <row r="29" spans="1:15" x14ac:dyDescent="0.25">
      <c r="A29" s="6" t="s">
        <v>30</v>
      </c>
      <c r="B29" s="8"/>
      <c r="C29" s="4"/>
      <c r="D29" s="6"/>
      <c r="E29" s="27"/>
      <c r="F29" s="27"/>
      <c r="G29" s="27"/>
      <c r="H29" s="5"/>
      <c r="J29" s="5"/>
      <c r="K29" s="6"/>
      <c r="L29" s="5" t="str">
        <f t="shared" si="0"/>
        <v/>
      </c>
      <c r="M29" s="5" t="str">
        <f t="shared" si="1"/>
        <v/>
      </c>
      <c r="N29" s="5" t="str">
        <f t="shared" si="2"/>
        <v/>
      </c>
      <c r="O29" s="5" t="str">
        <f>IFERROR(VLOOKUP(B29,#REF!,3,0),"")</f>
        <v/>
      </c>
    </row>
    <row r="30" spans="1:15" x14ac:dyDescent="0.25">
      <c r="A30" s="6" t="s">
        <v>31</v>
      </c>
      <c r="B30" s="8"/>
      <c r="C30" s="4"/>
      <c r="D30" s="6"/>
      <c r="E30" s="27"/>
      <c r="F30" s="27"/>
      <c r="G30" s="27"/>
      <c r="H30" s="5"/>
      <c r="J30" s="5"/>
      <c r="K30" s="6"/>
      <c r="L30" s="5" t="str">
        <f t="shared" si="0"/>
        <v/>
      </c>
      <c r="M30" s="5" t="str">
        <f t="shared" si="1"/>
        <v/>
      </c>
      <c r="N30" s="5" t="str">
        <f t="shared" si="2"/>
        <v/>
      </c>
      <c r="O30" s="5" t="str">
        <f>IFERROR(VLOOKUP(B30,#REF!,3,0),"")</f>
        <v/>
      </c>
    </row>
    <row r="31" spans="1:15" x14ac:dyDescent="0.25">
      <c r="A31" s="6" t="s">
        <v>32</v>
      </c>
      <c r="B31" s="8"/>
      <c r="C31" s="4"/>
      <c r="D31" s="6"/>
      <c r="E31" s="27"/>
      <c r="F31" s="27"/>
      <c r="G31" s="27"/>
      <c r="H31" s="13"/>
      <c r="J31" s="5"/>
      <c r="K31" s="6"/>
      <c r="L31" s="5" t="str">
        <f t="shared" si="0"/>
        <v/>
      </c>
      <c r="M31" s="5" t="str">
        <f t="shared" si="1"/>
        <v/>
      </c>
      <c r="N31" s="5" t="str">
        <f t="shared" si="2"/>
        <v/>
      </c>
      <c r="O31" s="5" t="str">
        <f>IFERROR(VLOOKUP(B31,#REF!,3,0),"")</f>
        <v/>
      </c>
    </row>
    <row r="32" spans="1:15" x14ac:dyDescent="0.25">
      <c r="A32" s="6" t="s">
        <v>33</v>
      </c>
      <c r="B32" s="8"/>
      <c r="C32" s="9"/>
      <c r="D32" s="7"/>
      <c r="E32" s="28"/>
      <c r="F32" s="28"/>
      <c r="G32" s="28"/>
      <c r="H32" s="10"/>
      <c r="J32" s="5"/>
      <c r="K32" s="5"/>
      <c r="L32" s="5" t="str">
        <f t="shared" si="0"/>
        <v/>
      </c>
      <c r="M32" s="5" t="str">
        <f t="shared" si="1"/>
        <v/>
      </c>
      <c r="N32" s="5" t="str">
        <f t="shared" si="2"/>
        <v/>
      </c>
      <c r="O32" s="5" t="str">
        <f>IFERROR(VLOOKUP(B32,#REF!,3,0),"")</f>
        <v/>
      </c>
    </row>
    <row r="33" spans="1:15" x14ac:dyDescent="0.25">
      <c r="A33" s="6" t="s">
        <v>34</v>
      </c>
      <c r="B33" s="8"/>
      <c r="C33" s="4"/>
      <c r="D33" s="6"/>
      <c r="E33" s="27"/>
      <c r="F33" s="27"/>
      <c r="G33" s="27"/>
      <c r="H33" s="5"/>
      <c r="J33" s="5"/>
      <c r="K33" s="6"/>
      <c r="L33" s="5" t="str">
        <f t="shared" si="0"/>
        <v/>
      </c>
      <c r="M33" s="5" t="str">
        <f t="shared" si="1"/>
        <v/>
      </c>
      <c r="N33" s="5" t="str">
        <f t="shared" si="2"/>
        <v/>
      </c>
      <c r="O33" s="5" t="str">
        <f>IFERROR(VLOOKUP(B33,#REF!,3,0),"")</f>
        <v/>
      </c>
    </row>
    <row r="34" spans="1:15" x14ac:dyDescent="0.25">
      <c r="A34" s="6" t="s">
        <v>35</v>
      </c>
      <c r="B34" s="8"/>
      <c r="C34" s="4"/>
      <c r="D34" s="6"/>
      <c r="E34" s="27"/>
      <c r="F34" s="27"/>
      <c r="G34" s="27"/>
      <c r="H34" s="5"/>
      <c r="J34" s="5"/>
      <c r="K34" s="6"/>
      <c r="L34" s="5" t="str">
        <f t="shared" si="0"/>
        <v/>
      </c>
      <c r="M34" s="5" t="str">
        <f t="shared" si="1"/>
        <v/>
      </c>
      <c r="N34" s="5" t="str">
        <f t="shared" si="2"/>
        <v/>
      </c>
      <c r="O34" s="5" t="str">
        <f>IFERROR(VLOOKUP(B34,#REF!,3,0),"")</f>
        <v/>
      </c>
    </row>
    <row r="35" spans="1:15" x14ac:dyDescent="0.25">
      <c r="A35" s="6" t="s">
        <v>36</v>
      </c>
      <c r="B35" s="8"/>
      <c r="C35" s="4"/>
      <c r="D35" s="6"/>
      <c r="E35" s="27"/>
      <c r="F35" s="27"/>
      <c r="G35" s="27"/>
      <c r="H35" s="5"/>
      <c r="J35" s="5"/>
      <c r="K35" s="6"/>
      <c r="L35" s="5" t="str">
        <f t="shared" si="0"/>
        <v/>
      </c>
      <c r="M35" s="5" t="str">
        <f t="shared" si="1"/>
        <v/>
      </c>
      <c r="N35" s="5" t="str">
        <f t="shared" si="2"/>
        <v/>
      </c>
      <c r="O35" s="5" t="str">
        <f>IFERROR(VLOOKUP(B35,#REF!,3,0),"")</f>
        <v/>
      </c>
    </row>
    <row r="36" spans="1:15" x14ac:dyDescent="0.25">
      <c r="A36" s="6" t="s">
        <v>37</v>
      </c>
      <c r="B36" s="8"/>
      <c r="C36" s="4"/>
      <c r="D36" s="6"/>
      <c r="E36" s="27"/>
      <c r="F36" s="27"/>
      <c r="G36" s="27"/>
      <c r="H36" s="5"/>
      <c r="J36" s="5"/>
      <c r="K36" s="6"/>
      <c r="L36" s="5" t="str">
        <f t="shared" si="0"/>
        <v/>
      </c>
      <c r="M36" s="5" t="str">
        <f t="shared" si="1"/>
        <v/>
      </c>
      <c r="N36" s="5" t="str">
        <f t="shared" si="2"/>
        <v/>
      </c>
      <c r="O36" s="5" t="str">
        <f>IFERROR(VLOOKUP(B36,#REF!,3,0),"")</f>
        <v/>
      </c>
    </row>
    <row r="37" spans="1:15" x14ac:dyDescent="0.25">
      <c r="A37" s="6" t="s">
        <v>38</v>
      </c>
      <c r="B37" s="8"/>
      <c r="C37" s="4"/>
      <c r="D37" s="6"/>
      <c r="E37" s="27"/>
      <c r="F37" s="27"/>
      <c r="G37" s="27"/>
      <c r="H37" s="13"/>
      <c r="J37" s="5"/>
      <c r="K37" s="6"/>
      <c r="L37" s="5" t="str">
        <f t="shared" si="0"/>
        <v/>
      </c>
      <c r="M37" s="5" t="str">
        <f t="shared" si="1"/>
        <v/>
      </c>
      <c r="N37" s="5" t="str">
        <f t="shared" si="2"/>
        <v/>
      </c>
      <c r="O37" s="5" t="str">
        <f>IFERROR(VLOOKUP(B37,#REF!,3,0),"")</f>
        <v/>
      </c>
    </row>
    <row r="38" spans="1:15" x14ac:dyDescent="0.25">
      <c r="A38" s="6" t="s">
        <v>39</v>
      </c>
      <c r="B38" s="8"/>
      <c r="C38" s="9"/>
      <c r="D38" s="7"/>
      <c r="E38" s="28"/>
      <c r="F38" s="28"/>
      <c r="G38" s="28"/>
      <c r="H38" s="10"/>
      <c r="J38" s="5"/>
      <c r="K38" s="5"/>
      <c r="L38" s="5" t="str">
        <f t="shared" si="0"/>
        <v/>
      </c>
      <c r="M38" s="5" t="str">
        <f t="shared" si="1"/>
        <v/>
      </c>
      <c r="N38" s="5" t="str">
        <f t="shared" si="2"/>
        <v/>
      </c>
      <c r="O38" s="5" t="str">
        <f>IFERROR(VLOOKUP(B38,#REF!,3,0),"")</f>
        <v/>
      </c>
    </row>
    <row r="39" spans="1:15" x14ac:dyDescent="0.25">
      <c r="A39" s="6" t="s">
        <v>40</v>
      </c>
      <c r="B39" s="8"/>
      <c r="C39" s="4"/>
      <c r="D39" s="6"/>
      <c r="E39" s="27"/>
      <c r="F39" s="27"/>
      <c r="G39" s="27"/>
      <c r="H39" s="5"/>
      <c r="J39" s="5"/>
      <c r="K39" s="6"/>
      <c r="L39" s="5" t="str">
        <f t="shared" si="0"/>
        <v/>
      </c>
      <c r="M39" s="5" t="str">
        <f t="shared" si="1"/>
        <v/>
      </c>
      <c r="N39" s="5" t="str">
        <f t="shared" si="2"/>
        <v/>
      </c>
      <c r="O39" s="5" t="str">
        <f>IFERROR(VLOOKUP(B39,#REF!,3,0),"")</f>
        <v/>
      </c>
    </row>
    <row r="40" spans="1:15" x14ac:dyDescent="0.25">
      <c r="A40" s="6" t="s">
        <v>41</v>
      </c>
      <c r="B40" s="8"/>
      <c r="C40" s="4"/>
      <c r="D40" s="6"/>
      <c r="E40" s="27"/>
      <c r="F40" s="27"/>
      <c r="G40" s="27"/>
      <c r="H40" s="5"/>
      <c r="J40" s="5"/>
      <c r="K40" s="6"/>
      <c r="L40" s="5" t="str">
        <f t="shared" si="0"/>
        <v/>
      </c>
      <c r="M40" s="5" t="str">
        <f t="shared" si="1"/>
        <v/>
      </c>
      <c r="N40" s="5" t="str">
        <f t="shared" si="2"/>
        <v/>
      </c>
      <c r="O40" s="5" t="str">
        <f>IFERROR(VLOOKUP(B40,#REF!,3,0),"")</f>
        <v/>
      </c>
    </row>
    <row r="41" spans="1:15" x14ac:dyDescent="0.25">
      <c r="A41" s="6" t="s">
        <v>42</v>
      </c>
      <c r="B41" s="8"/>
      <c r="C41" s="4"/>
      <c r="D41" s="6"/>
      <c r="E41" s="27"/>
      <c r="F41" s="27"/>
      <c r="G41" s="27"/>
      <c r="H41" s="5" t="s">
        <v>83</v>
      </c>
      <c r="J41" s="5"/>
      <c r="K41" s="6"/>
      <c r="L41" s="5" t="str">
        <f t="shared" si="0"/>
        <v/>
      </c>
      <c r="M41" s="5" t="str">
        <f t="shared" si="1"/>
        <v/>
      </c>
      <c r="N41" s="5" t="str">
        <f t="shared" si="2"/>
        <v/>
      </c>
      <c r="O41" s="5" t="str">
        <f>IFERROR(VLOOKUP(B41,#REF!,3,0),"")</f>
        <v/>
      </c>
    </row>
    <row r="42" spans="1:15" x14ac:dyDescent="0.25">
      <c r="A42" s="6" t="s">
        <v>43</v>
      </c>
      <c r="B42" s="8"/>
      <c r="C42" s="4"/>
      <c r="D42" s="6"/>
      <c r="E42" s="27"/>
      <c r="F42" s="27"/>
      <c r="G42" s="27"/>
      <c r="H42" s="5" t="s">
        <v>83</v>
      </c>
      <c r="J42" s="5"/>
      <c r="K42" s="6"/>
      <c r="L42" s="5" t="str">
        <f t="shared" si="0"/>
        <v/>
      </c>
      <c r="M42" s="5" t="str">
        <f t="shared" si="1"/>
        <v/>
      </c>
      <c r="N42" s="5" t="str">
        <f t="shared" si="2"/>
        <v/>
      </c>
      <c r="O42" s="5" t="str">
        <f>IFERROR(VLOOKUP(B42,#REF!,3,0),"")</f>
        <v/>
      </c>
    </row>
    <row r="43" spans="1:15" x14ac:dyDescent="0.25">
      <c r="A43" s="6" t="s">
        <v>44</v>
      </c>
      <c r="B43" s="8"/>
      <c r="C43" s="4"/>
      <c r="D43" s="6"/>
      <c r="E43" s="27"/>
      <c r="F43" s="27"/>
      <c r="G43" s="27"/>
      <c r="H43" s="13" t="s">
        <v>83</v>
      </c>
      <c r="J43" s="5"/>
      <c r="K43" s="6"/>
      <c r="L43" s="5" t="str">
        <f t="shared" si="0"/>
        <v/>
      </c>
      <c r="M43" s="5" t="str">
        <f t="shared" si="1"/>
        <v/>
      </c>
      <c r="N43" s="5" t="str">
        <f t="shared" si="2"/>
        <v/>
      </c>
      <c r="O43" s="5" t="str">
        <f>IFERROR(VLOOKUP(B43,#REF!,3,0),"")</f>
        <v/>
      </c>
    </row>
    <row r="44" spans="1:15" x14ac:dyDescent="0.25">
      <c r="A44" s="6" t="s">
        <v>45</v>
      </c>
      <c r="B44" s="8"/>
      <c r="C44" s="9"/>
      <c r="D44" s="7"/>
      <c r="E44" s="28"/>
      <c r="F44" s="28"/>
      <c r="G44" s="28"/>
      <c r="H44" s="10" t="s">
        <v>83</v>
      </c>
      <c r="J44" s="5"/>
      <c r="K44" s="5"/>
      <c r="L44" s="5" t="str">
        <f t="shared" si="0"/>
        <v/>
      </c>
      <c r="M44" s="5" t="str">
        <f t="shared" si="1"/>
        <v/>
      </c>
      <c r="N44" s="5" t="str">
        <f t="shared" si="2"/>
        <v/>
      </c>
      <c r="O44" s="5" t="str">
        <f>IFERROR(VLOOKUP(B44,#REF!,3,0),"")</f>
        <v/>
      </c>
    </row>
    <row r="45" spans="1:15" x14ac:dyDescent="0.25">
      <c r="A45" s="6" t="s">
        <v>46</v>
      </c>
      <c r="B45" s="8"/>
      <c r="C45" s="4"/>
      <c r="D45" s="6"/>
      <c r="E45" s="27"/>
      <c r="F45" s="27"/>
      <c r="G45" s="27"/>
      <c r="H45" s="5" t="s">
        <v>83</v>
      </c>
      <c r="J45" s="5"/>
      <c r="K45" s="6"/>
      <c r="L45" s="5" t="str">
        <f t="shared" si="0"/>
        <v/>
      </c>
      <c r="M45" s="5" t="str">
        <f t="shared" si="1"/>
        <v/>
      </c>
      <c r="N45" s="5" t="str">
        <f t="shared" si="2"/>
        <v/>
      </c>
      <c r="O45" s="5" t="str">
        <f>IFERROR(VLOOKUP(B45,#REF!,3,0),"")</f>
        <v/>
      </c>
    </row>
    <row r="46" spans="1:15" x14ac:dyDescent="0.25">
      <c r="A46" s="6" t="s">
        <v>47</v>
      </c>
      <c r="B46" s="8"/>
      <c r="C46" s="4"/>
      <c r="D46" s="6"/>
      <c r="E46" s="27"/>
      <c r="F46" s="27"/>
      <c r="G46" s="27"/>
      <c r="H46" s="5" t="s">
        <v>83</v>
      </c>
      <c r="J46" s="5"/>
      <c r="K46" s="6"/>
      <c r="L46" s="5" t="str">
        <f t="shared" si="0"/>
        <v/>
      </c>
      <c r="M46" s="5" t="str">
        <f t="shared" si="1"/>
        <v/>
      </c>
      <c r="N46" s="5" t="str">
        <f t="shared" si="2"/>
        <v/>
      </c>
      <c r="O46" s="5" t="str">
        <f>IFERROR(VLOOKUP(B46,#REF!,3,0),"")</f>
        <v/>
      </c>
    </row>
    <row r="47" spans="1:15" x14ac:dyDescent="0.25">
      <c r="A47" s="6" t="s">
        <v>48</v>
      </c>
      <c r="B47" s="8"/>
      <c r="C47" s="4"/>
      <c r="D47" s="6"/>
      <c r="E47" s="27"/>
      <c r="F47" s="27"/>
      <c r="G47" s="27"/>
      <c r="H47" s="5"/>
      <c r="J47" s="5"/>
      <c r="K47" s="6"/>
      <c r="L47" s="5" t="str">
        <f t="shared" si="0"/>
        <v/>
      </c>
      <c r="M47" s="5" t="str">
        <f t="shared" si="1"/>
        <v/>
      </c>
      <c r="N47" s="5" t="str">
        <f t="shared" si="2"/>
        <v/>
      </c>
      <c r="O47" s="5" t="str">
        <f>IFERROR(VLOOKUP(B47,#REF!,3,0),"")</f>
        <v/>
      </c>
    </row>
    <row r="48" spans="1:15" x14ac:dyDescent="0.25">
      <c r="A48" s="6" t="s">
        <v>49</v>
      </c>
      <c r="B48" s="8"/>
      <c r="C48" s="4"/>
      <c r="D48" s="6"/>
      <c r="E48" s="27"/>
      <c r="F48" s="27"/>
      <c r="G48" s="27"/>
      <c r="H48" s="5"/>
      <c r="J48" s="5"/>
      <c r="K48" s="6"/>
      <c r="L48" s="5" t="str">
        <f t="shared" si="0"/>
        <v/>
      </c>
      <c r="M48" s="5" t="str">
        <f t="shared" si="1"/>
        <v/>
      </c>
      <c r="N48" s="5" t="str">
        <f t="shared" si="2"/>
        <v/>
      </c>
      <c r="O48" s="5" t="str">
        <f>IFERROR(VLOOKUP(B48,#REF!,3,0),"")</f>
        <v/>
      </c>
    </row>
    <row r="49" spans="1:15" x14ac:dyDescent="0.25">
      <c r="A49" s="6" t="s">
        <v>50</v>
      </c>
      <c r="B49" s="8"/>
      <c r="C49" s="4"/>
      <c r="D49" s="6"/>
      <c r="E49" s="27"/>
      <c r="F49" s="27"/>
      <c r="G49" s="27"/>
      <c r="H49" s="13"/>
      <c r="J49" s="5"/>
      <c r="K49" s="6"/>
      <c r="L49" s="5" t="str">
        <f t="shared" si="0"/>
        <v/>
      </c>
      <c r="M49" s="5" t="str">
        <f t="shared" si="1"/>
        <v/>
      </c>
      <c r="N49" s="5" t="str">
        <f t="shared" si="2"/>
        <v/>
      </c>
      <c r="O49" s="5" t="str">
        <f>IFERROR(VLOOKUP(B49,#REF!,3,0),"")</f>
        <v/>
      </c>
    </row>
    <row r="50" spans="1:15" x14ac:dyDescent="0.25">
      <c r="A50" s="6" t="s">
        <v>51</v>
      </c>
      <c r="B50" s="8"/>
      <c r="C50" s="9"/>
      <c r="D50" s="7"/>
      <c r="E50" s="28"/>
      <c r="F50" s="28"/>
      <c r="G50" s="28"/>
      <c r="H50" s="10"/>
      <c r="J50" s="5"/>
      <c r="K50" s="5"/>
      <c r="L50" s="5" t="str">
        <f t="shared" si="0"/>
        <v/>
      </c>
      <c r="M50" s="5" t="str">
        <f t="shared" si="1"/>
        <v/>
      </c>
      <c r="N50" s="5" t="str">
        <f t="shared" si="2"/>
        <v/>
      </c>
      <c r="O50" s="5" t="str">
        <f>IFERROR(VLOOKUP(B50,#REF!,3,0),"")</f>
        <v/>
      </c>
    </row>
    <row r="51" spans="1:15" x14ac:dyDescent="0.25">
      <c r="A51" s="6" t="s">
        <v>52</v>
      </c>
      <c r="B51" s="8"/>
      <c r="C51" s="4"/>
      <c r="D51" s="6"/>
      <c r="E51" s="27"/>
      <c r="F51" s="27"/>
      <c r="G51" s="27"/>
      <c r="H51" s="5"/>
      <c r="J51" s="5"/>
      <c r="K51" s="6"/>
      <c r="L51" s="5" t="str">
        <f t="shared" ref="L51:L78" si="3">IFERROR(VALUE(LEFT(H51,SEARCH("k",H51)-1)),"")</f>
        <v/>
      </c>
      <c r="M51" s="5" t="str">
        <f t="shared" ref="M51:M78" si="4">IFERROR(IF((SEARCH("+lẻ",H51))&gt;0,1,0),"")</f>
        <v/>
      </c>
      <c r="N51" s="5" t="str">
        <f t="shared" si="2"/>
        <v/>
      </c>
      <c r="O51" s="5" t="str">
        <f>IFERROR(VLOOKUP(B51,#REF!,3,0),"")</f>
        <v/>
      </c>
    </row>
    <row r="52" spans="1:15" x14ac:dyDescent="0.25">
      <c r="A52" s="6" t="s">
        <v>53</v>
      </c>
      <c r="B52" s="8"/>
      <c r="C52" s="4"/>
      <c r="D52" s="6"/>
      <c r="E52" s="27"/>
      <c r="F52" s="27"/>
      <c r="G52" s="27"/>
      <c r="H52" s="5"/>
      <c r="J52" s="5"/>
      <c r="K52" s="6"/>
      <c r="L52" s="5" t="str">
        <f t="shared" si="3"/>
        <v/>
      </c>
      <c r="M52" s="5" t="str">
        <f t="shared" si="4"/>
        <v/>
      </c>
      <c r="N52" s="5" t="str">
        <f t="shared" si="2"/>
        <v/>
      </c>
      <c r="O52" s="5" t="str">
        <f>IFERROR(VLOOKUP(B52,#REF!,3,0),"")</f>
        <v/>
      </c>
    </row>
    <row r="53" spans="1:15" x14ac:dyDescent="0.25">
      <c r="A53" s="6" t="s">
        <v>54</v>
      </c>
      <c r="B53" s="8"/>
      <c r="C53" s="4"/>
      <c r="D53" s="6"/>
      <c r="E53" s="27"/>
      <c r="F53" s="27"/>
      <c r="G53" s="27"/>
      <c r="H53" s="5"/>
      <c r="J53" s="5"/>
      <c r="K53" s="6"/>
      <c r="L53" s="5" t="str">
        <f t="shared" si="3"/>
        <v/>
      </c>
      <c r="M53" s="5" t="str">
        <f t="shared" si="4"/>
        <v/>
      </c>
      <c r="N53" s="5" t="str">
        <f t="shared" si="2"/>
        <v/>
      </c>
      <c r="O53" s="5" t="str">
        <f>IFERROR(VLOOKUP(B53,#REF!,3,0),"")</f>
        <v/>
      </c>
    </row>
    <row r="54" spans="1:15" x14ac:dyDescent="0.25">
      <c r="A54" s="6" t="s">
        <v>55</v>
      </c>
      <c r="B54" s="8"/>
      <c r="C54" s="4"/>
      <c r="D54" s="6"/>
      <c r="E54" s="27"/>
      <c r="F54" s="27"/>
      <c r="G54" s="27"/>
      <c r="H54" s="5"/>
      <c r="J54" s="5"/>
      <c r="K54" s="6"/>
      <c r="L54" s="5" t="str">
        <f t="shared" si="3"/>
        <v/>
      </c>
      <c r="M54" s="5" t="str">
        <f t="shared" si="4"/>
        <v/>
      </c>
      <c r="N54" s="5" t="str">
        <f t="shared" si="2"/>
        <v/>
      </c>
      <c r="O54" s="5" t="str">
        <f>IFERROR(VLOOKUP(B54,#REF!,3,0),"")</f>
        <v/>
      </c>
    </row>
    <row r="55" spans="1:15" x14ac:dyDescent="0.25">
      <c r="A55" s="6" t="s">
        <v>56</v>
      </c>
      <c r="B55" s="8"/>
      <c r="C55" s="4"/>
      <c r="D55" s="6"/>
      <c r="E55" s="27"/>
      <c r="F55" s="27"/>
      <c r="G55" s="27"/>
      <c r="H55" s="13"/>
      <c r="J55" s="5"/>
      <c r="K55" s="6"/>
      <c r="L55" s="5" t="str">
        <f t="shared" si="3"/>
        <v/>
      </c>
      <c r="M55" s="5" t="str">
        <f t="shared" si="4"/>
        <v/>
      </c>
      <c r="N55" s="5" t="str">
        <f t="shared" si="2"/>
        <v/>
      </c>
      <c r="O55" s="5" t="str">
        <f>IFERROR(VLOOKUP(B55,#REF!,3,0),"")</f>
        <v/>
      </c>
    </row>
    <row r="56" spans="1:15" x14ac:dyDescent="0.25">
      <c r="A56" s="6" t="s">
        <v>57</v>
      </c>
      <c r="B56" s="8"/>
      <c r="C56" s="9"/>
      <c r="D56" s="7"/>
      <c r="E56" s="28"/>
      <c r="F56" s="28"/>
      <c r="G56" s="28"/>
      <c r="H56" s="10"/>
      <c r="J56" s="5"/>
      <c r="K56" s="5"/>
      <c r="L56" s="5" t="str">
        <f t="shared" si="3"/>
        <v/>
      </c>
      <c r="M56" s="5" t="str">
        <f t="shared" si="4"/>
        <v/>
      </c>
      <c r="N56" s="5" t="str">
        <f t="shared" si="2"/>
        <v/>
      </c>
      <c r="O56" s="5" t="str">
        <f>IFERROR(VLOOKUP(B56,#REF!,3,0),"")</f>
        <v/>
      </c>
    </row>
    <row r="57" spans="1:15" x14ac:dyDescent="0.25">
      <c r="A57" s="6" t="s">
        <v>58</v>
      </c>
      <c r="B57" s="8"/>
      <c r="C57" s="9"/>
      <c r="D57" s="7"/>
      <c r="E57" s="28"/>
      <c r="F57" s="28"/>
      <c r="G57" s="28"/>
      <c r="H57" s="10"/>
      <c r="J57" s="5"/>
      <c r="K57" s="5"/>
      <c r="L57" s="5" t="str">
        <f t="shared" si="3"/>
        <v/>
      </c>
      <c r="M57" s="5" t="str">
        <f t="shared" si="4"/>
        <v/>
      </c>
      <c r="N57" s="5" t="str">
        <f t="shared" si="2"/>
        <v/>
      </c>
      <c r="O57" s="5" t="str">
        <f>IFERROR(VLOOKUP(B57,#REF!,3,0),"")</f>
        <v/>
      </c>
    </row>
    <row r="58" spans="1:15" x14ac:dyDescent="0.25">
      <c r="A58" s="6" t="s">
        <v>59</v>
      </c>
      <c r="B58" s="8"/>
      <c r="C58" s="4"/>
      <c r="D58" s="6"/>
      <c r="E58" s="27"/>
      <c r="F58" s="27"/>
      <c r="G58" s="27"/>
      <c r="H58" s="13"/>
      <c r="J58" s="5"/>
      <c r="K58" s="6"/>
      <c r="L58" s="5" t="str">
        <f t="shared" si="3"/>
        <v/>
      </c>
      <c r="M58" s="5" t="str">
        <f t="shared" si="4"/>
        <v/>
      </c>
      <c r="N58" s="5" t="str">
        <f t="shared" si="2"/>
        <v/>
      </c>
      <c r="O58" s="5" t="str">
        <f>IFERROR(VLOOKUP(B58,#REF!,3,0),"")</f>
        <v/>
      </c>
    </row>
    <row r="59" spans="1:15" x14ac:dyDescent="0.25">
      <c r="A59" s="6" t="s">
        <v>60</v>
      </c>
      <c r="B59" s="8"/>
      <c r="C59" s="9"/>
      <c r="D59" s="7"/>
      <c r="E59" s="28"/>
      <c r="F59" s="28"/>
      <c r="G59" s="28"/>
      <c r="H59" s="10"/>
      <c r="J59" s="5"/>
      <c r="K59" s="5"/>
      <c r="L59" s="5" t="str">
        <f t="shared" si="3"/>
        <v/>
      </c>
      <c r="M59" s="5" t="str">
        <f t="shared" si="4"/>
        <v/>
      </c>
      <c r="N59" s="5" t="str">
        <f t="shared" si="2"/>
        <v/>
      </c>
      <c r="O59" s="5" t="str">
        <f>IFERROR(VLOOKUP(B59,#REF!,3,0),"")</f>
        <v/>
      </c>
    </row>
    <row r="60" spans="1:15" x14ac:dyDescent="0.25">
      <c r="A60" s="6" t="s">
        <v>61</v>
      </c>
      <c r="B60" s="8"/>
      <c r="C60" s="4"/>
      <c r="D60" s="6"/>
      <c r="E60" s="27"/>
      <c r="F60" s="27"/>
      <c r="G60" s="27"/>
      <c r="H60" s="5"/>
      <c r="J60" s="5"/>
      <c r="K60" s="6"/>
      <c r="L60" s="5" t="str">
        <f t="shared" si="3"/>
        <v/>
      </c>
      <c r="M60" s="5" t="str">
        <f t="shared" si="4"/>
        <v/>
      </c>
      <c r="N60" s="5" t="str">
        <f t="shared" si="2"/>
        <v/>
      </c>
      <c r="O60" s="5" t="str">
        <f>IFERROR(VLOOKUP(B60,#REF!,3,0),"")</f>
        <v/>
      </c>
    </row>
    <row r="61" spans="1:15" x14ac:dyDescent="0.25">
      <c r="A61" s="6" t="s">
        <v>62</v>
      </c>
      <c r="B61" s="8"/>
      <c r="C61" s="4"/>
      <c r="D61" s="6"/>
      <c r="E61" s="27"/>
      <c r="F61" s="27"/>
      <c r="G61" s="27"/>
      <c r="H61" s="5"/>
      <c r="J61" s="5"/>
      <c r="K61" s="6"/>
      <c r="L61" s="5" t="str">
        <f t="shared" si="3"/>
        <v/>
      </c>
      <c r="M61" s="5" t="str">
        <f t="shared" si="4"/>
        <v/>
      </c>
      <c r="N61" s="5" t="str">
        <f t="shared" si="2"/>
        <v/>
      </c>
      <c r="O61" s="5" t="str">
        <f>IFERROR(VLOOKUP(B61,#REF!,3,0),"")</f>
        <v/>
      </c>
    </row>
    <row r="62" spans="1:15" x14ac:dyDescent="0.25">
      <c r="A62" s="6" t="s">
        <v>63</v>
      </c>
      <c r="B62" s="8"/>
      <c r="C62" s="4"/>
      <c r="D62" s="6"/>
      <c r="E62" s="27"/>
      <c r="F62" s="27"/>
      <c r="G62" s="27"/>
      <c r="H62" s="5"/>
      <c r="J62" s="5"/>
      <c r="K62" s="6"/>
      <c r="L62" s="5" t="str">
        <f t="shared" si="3"/>
        <v/>
      </c>
      <c r="M62" s="5" t="str">
        <f t="shared" si="4"/>
        <v/>
      </c>
      <c r="N62" s="5" t="str">
        <f t="shared" si="2"/>
        <v/>
      </c>
      <c r="O62" s="5" t="str">
        <f>IFERROR(VLOOKUP(B62,#REF!,3,0),"")</f>
        <v/>
      </c>
    </row>
    <row r="63" spans="1:15" x14ac:dyDescent="0.25">
      <c r="A63" s="6" t="s">
        <v>64</v>
      </c>
      <c r="B63" s="8"/>
      <c r="C63" s="4"/>
      <c r="D63" s="6"/>
      <c r="E63" s="27"/>
      <c r="F63" s="27"/>
      <c r="G63" s="27"/>
      <c r="H63" s="5"/>
      <c r="J63" s="5"/>
      <c r="K63" s="6"/>
      <c r="L63" s="5" t="str">
        <f t="shared" si="3"/>
        <v/>
      </c>
      <c r="M63" s="5" t="str">
        <f t="shared" si="4"/>
        <v/>
      </c>
      <c r="N63" s="5" t="str">
        <f t="shared" si="2"/>
        <v/>
      </c>
      <c r="O63" s="5" t="str">
        <f>IFERROR(VLOOKUP(B63,#REF!,3,0),"")</f>
        <v/>
      </c>
    </row>
    <row r="64" spans="1:15" x14ac:dyDescent="0.25">
      <c r="A64" s="6" t="s">
        <v>65</v>
      </c>
      <c r="B64" s="8"/>
      <c r="C64" s="4"/>
      <c r="D64" s="6"/>
      <c r="E64" s="27"/>
      <c r="F64" s="27"/>
      <c r="G64" s="27"/>
      <c r="H64" s="13"/>
      <c r="J64" s="5"/>
      <c r="K64" s="6"/>
      <c r="L64" s="5" t="str">
        <f t="shared" si="3"/>
        <v/>
      </c>
      <c r="M64" s="5" t="str">
        <f t="shared" si="4"/>
        <v/>
      </c>
      <c r="N64" s="5" t="str">
        <f t="shared" si="2"/>
        <v/>
      </c>
      <c r="O64" s="5" t="str">
        <f>IFERROR(VLOOKUP(B64,#REF!,3,0),"")</f>
        <v/>
      </c>
    </row>
    <row r="65" spans="1:15" x14ac:dyDescent="0.25">
      <c r="A65" s="6" t="s">
        <v>66</v>
      </c>
      <c r="B65" s="8"/>
      <c r="C65" s="9"/>
      <c r="D65" s="7"/>
      <c r="E65" s="28"/>
      <c r="F65" s="28"/>
      <c r="G65" s="28"/>
      <c r="H65" s="10"/>
      <c r="J65" s="5"/>
      <c r="K65" s="5"/>
      <c r="L65" s="5" t="str">
        <f t="shared" si="3"/>
        <v/>
      </c>
      <c r="M65" s="5" t="str">
        <f t="shared" si="4"/>
        <v/>
      </c>
      <c r="N65" s="5" t="str">
        <f t="shared" si="2"/>
        <v/>
      </c>
      <c r="O65" s="5" t="str">
        <f>IFERROR(VLOOKUP(B65,#REF!,3,0),"")</f>
        <v/>
      </c>
    </row>
    <row r="66" spans="1:15" x14ac:dyDescent="0.25">
      <c r="A66" s="6" t="s">
        <v>67</v>
      </c>
      <c r="B66" s="8"/>
      <c r="C66" s="4"/>
      <c r="D66" s="6"/>
      <c r="E66" s="27"/>
      <c r="F66" s="27"/>
      <c r="G66" s="27"/>
      <c r="H66" s="5"/>
      <c r="J66" s="5"/>
      <c r="K66" s="6"/>
      <c r="L66" s="5" t="str">
        <f t="shared" si="3"/>
        <v/>
      </c>
      <c r="M66" s="5" t="str">
        <f t="shared" si="4"/>
        <v/>
      </c>
      <c r="N66" s="5" t="str">
        <f t="shared" si="2"/>
        <v/>
      </c>
      <c r="O66" s="5" t="str">
        <f>IFERROR(VLOOKUP(B66,#REF!,3,0),"")</f>
        <v/>
      </c>
    </row>
    <row r="67" spans="1:15" x14ac:dyDescent="0.25">
      <c r="A67" s="6" t="s">
        <v>68</v>
      </c>
      <c r="B67" s="8"/>
      <c r="C67" s="4"/>
      <c r="D67" s="6"/>
      <c r="E67" s="27"/>
      <c r="F67" s="27"/>
      <c r="G67" s="27"/>
      <c r="H67" s="5"/>
      <c r="J67" s="5"/>
      <c r="K67" s="6"/>
      <c r="L67" s="5" t="str">
        <f t="shared" si="3"/>
        <v/>
      </c>
      <c r="M67" s="5" t="str">
        <f t="shared" si="4"/>
        <v/>
      </c>
      <c r="N67" s="5" t="str">
        <f t="shared" si="2"/>
        <v/>
      </c>
      <c r="O67" s="5" t="str">
        <f>IFERROR(VLOOKUP(B67,#REF!,3,0),"")</f>
        <v/>
      </c>
    </row>
    <row r="68" spans="1:15" x14ac:dyDescent="0.25">
      <c r="A68" s="6" t="s">
        <v>69</v>
      </c>
      <c r="B68" s="8"/>
      <c r="C68" s="4"/>
      <c r="D68" s="6"/>
      <c r="E68" s="27"/>
      <c r="F68" s="27"/>
      <c r="G68" s="27"/>
      <c r="H68" s="5"/>
      <c r="J68" s="5"/>
      <c r="K68" s="6"/>
      <c r="L68" s="5" t="str">
        <f t="shared" si="3"/>
        <v/>
      </c>
      <c r="M68" s="5" t="str">
        <f t="shared" si="4"/>
        <v/>
      </c>
      <c r="N68" s="5" t="str">
        <f t="shared" si="2"/>
        <v/>
      </c>
      <c r="O68" s="5" t="str">
        <f>IFERROR(VLOOKUP(B68,#REF!,3,0),"")</f>
        <v/>
      </c>
    </row>
    <row r="69" spans="1:15" x14ac:dyDescent="0.25">
      <c r="A69" s="6" t="s">
        <v>70</v>
      </c>
      <c r="B69" s="8"/>
      <c r="C69" s="4"/>
      <c r="D69" s="6"/>
      <c r="E69" s="27"/>
      <c r="F69" s="27"/>
      <c r="G69" s="27"/>
      <c r="H69" s="5"/>
      <c r="J69" s="5"/>
      <c r="K69" s="6"/>
      <c r="L69" s="5" t="str">
        <f t="shared" si="3"/>
        <v/>
      </c>
      <c r="M69" s="5" t="str">
        <f t="shared" si="4"/>
        <v/>
      </c>
      <c r="N69" s="5" t="str">
        <f t="shared" si="2"/>
        <v/>
      </c>
      <c r="O69" s="5" t="str">
        <f>IFERROR(VLOOKUP(B69,#REF!,3,0),"")</f>
        <v/>
      </c>
    </row>
    <row r="70" spans="1:15" x14ac:dyDescent="0.25">
      <c r="A70" s="6" t="s">
        <v>71</v>
      </c>
      <c r="B70" s="8"/>
      <c r="C70" s="4"/>
      <c r="D70" s="6"/>
      <c r="E70" s="27"/>
      <c r="F70" s="27"/>
      <c r="G70" s="27"/>
      <c r="H70" s="13"/>
      <c r="J70" s="5"/>
      <c r="K70" s="6"/>
      <c r="L70" s="5" t="str">
        <f t="shared" si="3"/>
        <v/>
      </c>
      <c r="M70" s="5" t="str">
        <f t="shared" si="4"/>
        <v/>
      </c>
      <c r="N70" s="5" t="str">
        <f t="shared" si="2"/>
        <v/>
      </c>
      <c r="O70" s="5" t="str">
        <f>IFERROR(VLOOKUP(B70,#REF!,3,0),"")</f>
        <v/>
      </c>
    </row>
    <row r="71" spans="1:15" x14ac:dyDescent="0.25">
      <c r="A71" s="6" t="s">
        <v>72</v>
      </c>
      <c r="B71" s="8"/>
      <c r="C71" s="9"/>
      <c r="D71" s="7"/>
      <c r="E71" s="28"/>
      <c r="F71" s="28"/>
      <c r="G71" s="28"/>
      <c r="H71" s="10"/>
      <c r="J71" s="5"/>
      <c r="K71" s="5"/>
      <c r="L71" s="5" t="str">
        <f t="shared" si="3"/>
        <v/>
      </c>
      <c r="M71" s="5" t="str">
        <f t="shared" si="4"/>
        <v/>
      </c>
      <c r="N71" s="5" t="str">
        <f t="shared" si="2"/>
        <v/>
      </c>
      <c r="O71" s="5" t="str">
        <f>IFERROR(VLOOKUP(B71,#REF!,3,0),"")</f>
        <v/>
      </c>
    </row>
    <row r="72" spans="1:15" x14ac:dyDescent="0.25">
      <c r="A72" s="6" t="s">
        <v>73</v>
      </c>
      <c r="B72" s="8"/>
      <c r="C72" s="4"/>
      <c r="D72" s="6"/>
      <c r="E72" s="27"/>
      <c r="F72" s="27"/>
      <c r="G72" s="27"/>
      <c r="H72" s="5"/>
      <c r="J72" s="5"/>
      <c r="K72" s="6"/>
      <c r="L72" s="5" t="str">
        <f t="shared" si="3"/>
        <v/>
      </c>
      <c r="M72" s="5" t="str">
        <f t="shared" si="4"/>
        <v/>
      </c>
      <c r="N72" s="5" t="str">
        <f t="shared" si="2"/>
        <v/>
      </c>
      <c r="O72" s="5" t="str">
        <f>IFERROR(VLOOKUP(B72,#REF!,3,0),"")</f>
        <v/>
      </c>
    </row>
    <row r="73" spans="1:15" x14ac:dyDescent="0.25">
      <c r="A73" s="6" t="s">
        <v>74</v>
      </c>
      <c r="B73" s="8"/>
      <c r="C73" s="4"/>
      <c r="D73" s="6"/>
      <c r="E73" s="27"/>
      <c r="F73" s="27"/>
      <c r="G73" s="27"/>
      <c r="H73" s="5"/>
      <c r="J73" s="5"/>
      <c r="K73" s="6"/>
      <c r="L73" s="5" t="str">
        <f t="shared" si="3"/>
        <v/>
      </c>
      <c r="M73" s="5" t="str">
        <f t="shared" si="4"/>
        <v/>
      </c>
      <c r="N73" s="5" t="str">
        <f t="shared" si="2"/>
        <v/>
      </c>
      <c r="O73" s="5" t="str">
        <f>IFERROR(VLOOKUP(B73,#REF!,3,0),"")</f>
        <v/>
      </c>
    </row>
    <row r="74" spans="1:15" x14ac:dyDescent="0.25">
      <c r="A74" s="6" t="s">
        <v>75</v>
      </c>
      <c r="B74" s="8"/>
      <c r="C74" s="4"/>
      <c r="D74" s="6"/>
      <c r="E74" s="27"/>
      <c r="F74" s="27"/>
      <c r="G74" s="27"/>
      <c r="H74" s="5"/>
      <c r="J74" s="5"/>
      <c r="K74" s="6"/>
      <c r="L74" s="5" t="str">
        <f t="shared" si="3"/>
        <v/>
      </c>
      <c r="M74" s="5" t="str">
        <f t="shared" si="4"/>
        <v/>
      </c>
      <c r="N74" s="5" t="str">
        <f t="shared" si="2"/>
        <v/>
      </c>
      <c r="O74" s="5" t="str">
        <f>IFERROR(VLOOKUP(B74,#REF!,3,0),"")</f>
        <v/>
      </c>
    </row>
    <row r="75" spans="1:15" x14ac:dyDescent="0.25">
      <c r="A75" s="6" t="s">
        <v>76</v>
      </c>
      <c r="B75" s="8"/>
      <c r="C75" s="4"/>
      <c r="D75" s="6"/>
      <c r="E75" s="27"/>
      <c r="F75" s="27"/>
      <c r="G75" s="27"/>
      <c r="H75" s="5"/>
      <c r="J75" s="5"/>
      <c r="K75" s="6"/>
      <c r="L75" s="5" t="str">
        <f t="shared" si="3"/>
        <v/>
      </c>
      <c r="M75" s="5" t="str">
        <f t="shared" si="4"/>
        <v/>
      </c>
      <c r="N75" s="5" t="str">
        <f t="shared" si="2"/>
        <v/>
      </c>
      <c r="O75" s="5" t="str">
        <f>IFERROR(VLOOKUP(B75,#REF!,3,0),"")</f>
        <v/>
      </c>
    </row>
    <row r="76" spans="1:15" x14ac:dyDescent="0.25">
      <c r="A76" s="6" t="s">
        <v>77</v>
      </c>
      <c r="B76" s="8"/>
      <c r="C76" s="4"/>
      <c r="D76" s="6"/>
      <c r="E76" s="27"/>
      <c r="F76" s="27"/>
      <c r="G76" s="27"/>
      <c r="H76" s="13"/>
      <c r="J76" s="5"/>
      <c r="K76" s="6"/>
      <c r="L76" s="5" t="str">
        <f t="shared" si="3"/>
        <v/>
      </c>
      <c r="M76" s="5" t="str">
        <f t="shared" si="4"/>
        <v/>
      </c>
      <c r="N76" s="5" t="str">
        <f t="shared" si="2"/>
        <v/>
      </c>
      <c r="O76" s="5" t="str">
        <f>IFERROR(VLOOKUP(B76,#REF!,3,0),"")</f>
        <v/>
      </c>
    </row>
    <row r="77" spans="1:15" x14ac:dyDescent="0.25">
      <c r="A77" s="6" t="s">
        <v>78</v>
      </c>
      <c r="B77" s="8"/>
      <c r="C77" s="9"/>
      <c r="D77" s="7"/>
      <c r="E77" s="28"/>
      <c r="F77" s="28"/>
      <c r="G77" s="28"/>
      <c r="H77" s="10"/>
      <c r="J77" s="5"/>
      <c r="K77" s="5"/>
      <c r="L77" s="5" t="str">
        <f t="shared" si="3"/>
        <v/>
      </c>
      <c r="M77" s="5" t="str">
        <f t="shared" si="4"/>
        <v/>
      </c>
      <c r="N77" s="5" t="str">
        <f t="shared" si="2"/>
        <v/>
      </c>
      <c r="O77" s="5" t="str">
        <f>IFERROR(VLOOKUP(B77,#REF!,3,0),"")</f>
        <v/>
      </c>
    </row>
    <row r="78" spans="1:15" x14ac:dyDescent="0.25">
      <c r="A78" s="6" t="s">
        <v>79</v>
      </c>
      <c r="B78" s="8"/>
      <c r="C78" s="9"/>
      <c r="D78" s="7"/>
      <c r="E78" s="28"/>
      <c r="F78" s="28"/>
      <c r="G78" s="28"/>
      <c r="H78" s="10"/>
      <c r="J78" s="5"/>
      <c r="K78" s="5"/>
      <c r="L78" s="5" t="str">
        <f t="shared" si="3"/>
        <v/>
      </c>
      <c r="M78" s="5" t="str">
        <f t="shared" si="4"/>
        <v/>
      </c>
      <c r="N78" s="5" t="str">
        <f t="shared" si="2"/>
        <v/>
      </c>
      <c r="O78" s="5" t="str">
        <f>IFERROR(VLOOKUP(B78,#REF!,3,0),"")</f>
        <v/>
      </c>
    </row>
    <row r="79" spans="1:15" ht="7.5" customHeight="1" x14ac:dyDescent="0.25">
      <c r="A79" s="14"/>
      <c r="B79" s="34"/>
      <c r="C79" s="15"/>
      <c r="D79" s="16"/>
      <c r="E79" s="17"/>
      <c r="F79" s="17"/>
      <c r="G79" s="17"/>
      <c r="H79" s="18"/>
      <c r="J79" s="11"/>
      <c r="K79" s="11"/>
      <c r="L79" s="30">
        <f>SUM(L19:L78)</f>
        <v>0</v>
      </c>
      <c r="M79" s="30">
        <f>SUM(M19:M78)</f>
        <v>0</v>
      </c>
      <c r="N79" s="30">
        <f>SUM(N19:N78)</f>
        <v>0</v>
      </c>
      <c r="O79" s="12"/>
    </row>
    <row r="80" spans="1:15" x14ac:dyDescent="0.25">
      <c r="A80" s="1" t="s">
        <v>8</v>
      </c>
      <c r="B80" s="1" t="s">
        <v>317</v>
      </c>
      <c r="H80" s="11"/>
      <c r="I80" s="11"/>
      <c r="J80" s="11"/>
      <c r="K80" s="11"/>
      <c r="L80" s="11"/>
      <c r="M80" s="11"/>
    </row>
    <row r="81" spans="1:14" x14ac:dyDescent="0.25">
      <c r="A81" s="43"/>
      <c r="B81" s="46" t="s">
        <v>448</v>
      </c>
      <c r="C81" s="65" t="str">
        <f>B12</f>
        <v>CÔNG TY DƯỢC PHẨM ĐÔNG Á</v>
      </c>
      <c r="D81" s="65"/>
      <c r="E81" s="65"/>
      <c r="F81" s="65"/>
      <c r="G81" s="65"/>
      <c r="H81" s="65"/>
      <c r="L81" s="44"/>
      <c r="M81" s="44"/>
      <c r="N81" s="44"/>
    </row>
    <row r="82" spans="1:14" ht="45" customHeight="1" x14ac:dyDescent="0.25">
      <c r="A82" s="43"/>
      <c r="B82" s="45" t="s">
        <v>6</v>
      </c>
      <c r="C82" s="66" t="str">
        <f>B13</f>
        <v>Lô 1-1, cụm 1, đường M14, KCN Tân Bình mở rộng, P.Bình Hưng Hòa, Q.Bình Tân, Tp. Hồ Chí Minh</v>
      </c>
      <c r="D82" s="66"/>
      <c r="E82" s="66"/>
      <c r="F82" s="66"/>
      <c r="G82" s="66"/>
      <c r="H82" s="66"/>
      <c r="L82" s="44"/>
      <c r="M82" s="44"/>
      <c r="N82" s="44"/>
    </row>
    <row r="83" spans="1:14" x14ac:dyDescent="0.25">
      <c r="A83" s="43"/>
      <c r="B83" s="45" t="s">
        <v>449</v>
      </c>
      <c r="C83" s="67" t="str">
        <f>B15</f>
        <v>Anh Lê Bảo Thạc: 0813995463 / Ms Nhỏ: 0947711004</v>
      </c>
      <c r="D83" s="67"/>
      <c r="E83" s="67"/>
      <c r="F83" s="67"/>
      <c r="G83" s="67"/>
      <c r="H83" s="67"/>
      <c r="L83" s="44"/>
      <c r="M83" s="44"/>
      <c r="N83" s="44"/>
    </row>
    <row r="84" spans="1:14" x14ac:dyDescent="0.25">
      <c r="A84" s="77" t="s">
        <v>9</v>
      </c>
      <c r="B84" s="77"/>
      <c r="D84" s="63" t="s">
        <v>10</v>
      </c>
      <c r="E84" s="63"/>
      <c r="F84" s="63"/>
      <c r="G84" s="63"/>
      <c r="H84" s="63"/>
    </row>
    <row r="85" spans="1:14" ht="15" customHeight="1" x14ac:dyDescent="0.25">
      <c r="A85" s="63" t="s">
        <v>4</v>
      </c>
      <c r="B85" s="63"/>
      <c r="D85" s="69" t="s">
        <v>422</v>
      </c>
      <c r="E85" s="69"/>
      <c r="F85" s="69"/>
      <c r="G85" s="69"/>
      <c r="H85" s="69"/>
    </row>
    <row r="86" spans="1:14" x14ac:dyDescent="0.25">
      <c r="A86" s="36"/>
      <c r="B86" s="37"/>
      <c r="D86" s="69"/>
      <c r="E86" s="69"/>
      <c r="F86" s="69"/>
      <c r="G86" s="69"/>
      <c r="H86" s="69"/>
    </row>
    <row r="87" spans="1:14" x14ac:dyDescent="0.25">
      <c r="B87" s="35"/>
    </row>
    <row r="88" spans="1:14" x14ac:dyDescent="0.25">
      <c r="B88" s="35"/>
    </row>
    <row r="89" spans="1:14" x14ac:dyDescent="0.25">
      <c r="B89" s="31" t="str">
        <f>K16</f>
        <v>023 2002 DAP.MN : 0K + 0LE</v>
      </c>
    </row>
  </sheetData>
  <mergeCells count="19">
    <mergeCell ref="B1:E1"/>
    <mergeCell ref="D85:H86"/>
    <mergeCell ref="A2:H2"/>
    <mergeCell ref="A3:H3"/>
    <mergeCell ref="A4:H4"/>
    <mergeCell ref="A5:H5"/>
    <mergeCell ref="A6:H6"/>
    <mergeCell ref="A16:H17"/>
    <mergeCell ref="B13:H14"/>
    <mergeCell ref="A13:A14"/>
    <mergeCell ref="B15:H15"/>
    <mergeCell ref="D84:H84"/>
    <mergeCell ref="A84:B84"/>
    <mergeCell ref="A85:B85"/>
    <mergeCell ref="A8:H8"/>
    <mergeCell ref="A10:H10"/>
    <mergeCell ref="C81:H81"/>
    <mergeCell ref="C82:H82"/>
    <mergeCell ref="C83:H83"/>
  </mergeCells>
  <dataValidations count="1">
    <dataValidation type="list" allowBlank="1" showInputMessage="1" showErrorMessage="1" sqref="J7" xr:uid="{00000000-0002-0000-0000-000000000000}">
      <formula1>$J$3:$J$4</formula1>
    </dataValidation>
  </dataValidations>
  <pageMargins left="0.3" right="0.28000000000000003" top="0.75" bottom="0.75" header="0.3" footer="0.3"/>
  <pageSetup paperSize="9" orientation="portrait" r:id="rId1"/>
  <rowBreaks count="1" manualBreakCount="1">
    <brk id="87" max="16383" man="1"/>
  </rowBreaks>
  <drawing r:id="rId2"/>
  <legacyDrawing r:id="rId3"/>
  <controls>
    <mc:AlternateContent xmlns:mc="http://schemas.openxmlformats.org/markup-compatibility/2006">
      <mc:Choice Requires="x14">
        <control shapeId="1027" r:id="rId4" name="CommandButton1">
          <controlPr defaultSize="0" autoLine="0" r:id="rId5">
            <anchor moveWithCells="1">
              <from>
                <xdr:col>9</xdr:col>
                <xdr:colOff>19050</xdr:colOff>
                <xdr:row>15</xdr:row>
                <xdr:rowOff>76200</xdr:rowOff>
              </from>
              <to>
                <xdr:col>10</xdr:col>
                <xdr:colOff>0</xdr:colOff>
                <xdr:row>17</xdr:row>
                <xdr:rowOff>28575</xdr:rowOff>
              </to>
            </anchor>
          </controlPr>
        </control>
      </mc:Choice>
      <mc:Fallback>
        <control shapeId="1027" r:id="rId4" name="CommandButton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1000000}">
          <x14:formula1>
            <xm:f>contact!$B:$B</xm:f>
          </x14:formula1>
          <xm:sqref>J9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V92"/>
  <sheetViews>
    <sheetView zoomScale="115" zoomScaleNormal="115" workbookViewId="0">
      <pane xSplit="1" ySplit="1" topLeftCell="B86" activePane="bottomRight" state="frozen"/>
      <selection pane="topRight" activeCell="B1" sqref="B1"/>
      <selection pane="bottomLeft" activeCell="A2" sqref="A2"/>
      <selection pane="bottomRight" activeCell="B93" sqref="B93"/>
    </sheetView>
  </sheetViews>
  <sheetFormatPr defaultRowHeight="15" x14ac:dyDescent="0.25"/>
  <cols>
    <col min="1" max="1" width="11" style="23" customWidth="1"/>
    <col min="2" max="2" width="28.7109375" style="24" customWidth="1"/>
    <col min="3" max="3" width="22.140625" style="24" customWidth="1"/>
    <col min="4" max="4" width="29.7109375" style="24" customWidth="1"/>
    <col min="5" max="5" width="43.5703125" style="24" customWidth="1"/>
    <col min="6" max="6" width="27.28515625" style="25" customWidth="1"/>
    <col min="7" max="7" width="233.5703125" style="22" bestFit="1" customWidth="1"/>
    <col min="8" max="256" width="9.140625" style="22"/>
    <col min="257" max="16384" width="9.140625" style="26"/>
  </cols>
  <sheetData>
    <row r="1" spans="1:7" s="20" customFormat="1" ht="39.950000000000003" customHeight="1" x14ac:dyDescent="0.25">
      <c r="A1" s="49" t="s">
        <v>84</v>
      </c>
      <c r="B1" s="47" t="s">
        <v>85</v>
      </c>
      <c r="C1" s="47" t="s">
        <v>86</v>
      </c>
      <c r="D1" s="47" t="s">
        <v>328</v>
      </c>
      <c r="E1" s="47" t="s">
        <v>444</v>
      </c>
      <c r="F1" s="47" t="s">
        <v>329</v>
      </c>
      <c r="G1" s="48" t="s">
        <v>290</v>
      </c>
    </row>
    <row r="2" spans="1:7" s="21" customFormat="1" ht="37.5" customHeight="1" x14ac:dyDescent="0.25">
      <c r="A2" s="50">
        <f>IF(B2="","",SUBTOTAL(3,$B$2:B2))</f>
        <v>1</v>
      </c>
      <c r="B2" s="51" t="s">
        <v>117</v>
      </c>
      <c r="C2" s="51" t="s">
        <v>118</v>
      </c>
      <c r="D2" s="51" t="s">
        <v>118</v>
      </c>
      <c r="E2" s="51" t="s">
        <v>119</v>
      </c>
      <c r="F2" s="52" t="s">
        <v>273</v>
      </c>
      <c r="G2" s="53" t="str">
        <f t="shared" ref="G2:G33" si="0">D2&amp;" "
&amp;E2&amp;
" "&amp;F2</f>
        <v>CÔNG TY 3K PHARMA Kho B2.2, Số 63 Vạn Phúc, Hà Đông, Hà Nội Ms Xoan: 0972741278 / Chị Trâm: 0904.747.841</v>
      </c>
    </row>
    <row r="3" spans="1:7" ht="37.5" customHeight="1" x14ac:dyDescent="0.25">
      <c r="A3" s="54">
        <f>IF(B3="","",SUBTOTAL(3,$B$2:B3))</f>
        <v>2</v>
      </c>
      <c r="B3" s="55" t="s">
        <v>357</v>
      </c>
      <c r="C3" s="55" t="s">
        <v>118</v>
      </c>
      <c r="D3" s="55" t="s">
        <v>118</v>
      </c>
      <c r="E3" s="55" t="s">
        <v>358</v>
      </c>
      <c r="F3" s="56" t="s">
        <v>359</v>
      </c>
      <c r="G3" s="57" t="str">
        <f t="shared" si="0"/>
        <v>CÔNG TY 3K PHARMA 16 – TM3E – 2 - Khu Đô Thị The Manor Central Park – Thuộc dự án Khu đô thị Nam đường vành đai 3 tại phường Đại Kim quận Hoàng Mai và xã Thanh Liệt, Thanh Trì, Hà Nội Chị Hương: 0345.601.983</v>
      </c>
    </row>
    <row r="4" spans="1:7" ht="37.5" customHeight="1" x14ac:dyDescent="0.25">
      <c r="A4" s="50">
        <f>IF(B4="","",SUBTOTAL(3,$B$2:B4))</f>
        <v>3</v>
      </c>
      <c r="B4" s="51" t="s">
        <v>264</v>
      </c>
      <c r="C4" s="51"/>
      <c r="D4" s="51" t="s">
        <v>265</v>
      </c>
      <c r="E4" s="51" t="s">
        <v>266</v>
      </c>
      <c r="F4" s="51" t="s">
        <v>267</v>
      </c>
      <c r="G4" s="53" t="str">
        <f t="shared" si="0"/>
        <v>ANH QUÂN 24 Trần Tống, TP Đà Nẵng Anh Quân: 0888818588</v>
      </c>
    </row>
    <row r="5" spans="1:7" ht="37.5" customHeight="1" x14ac:dyDescent="0.25">
      <c r="A5" s="54">
        <f>IF(B5="","",SUBTOTAL(3,$B$2:B5))</f>
        <v>4</v>
      </c>
      <c r="B5" s="55" t="s">
        <v>243</v>
      </c>
      <c r="C5" s="55"/>
      <c r="D5" s="55" t="s">
        <v>244</v>
      </c>
      <c r="E5" s="55" t="s">
        <v>245</v>
      </c>
      <c r="F5" s="55" t="s">
        <v>246</v>
      </c>
      <c r="G5" s="57" t="str">
        <f t="shared" si="0"/>
        <v>CÔNG TY KINH DOANH DƯỢC PHẨM AN HƯNG số 23TT 6 khu đấu giá Tứ Hiệp, Thanh Trì, Hà Nội. Ms Thủy: 024.625.44782- 0776216255</v>
      </c>
    </row>
    <row r="6" spans="1:7" ht="37.5" customHeight="1" x14ac:dyDescent="0.25">
      <c r="A6" s="50">
        <f>IF(B6="","",SUBTOTAL(3,$B$2:B6))</f>
        <v>5</v>
      </c>
      <c r="B6" s="51" t="s">
        <v>282</v>
      </c>
      <c r="C6" s="51"/>
      <c r="D6" s="51" t="s">
        <v>294</v>
      </c>
      <c r="E6" s="51" t="s">
        <v>280</v>
      </c>
      <c r="F6" s="51" t="s">
        <v>281</v>
      </c>
      <c r="G6" s="53" t="str">
        <f t="shared" si="0"/>
        <v>CỔNG TY CP DƯỢC PHẨM AN KHANG PHARMA Lô G1, Đường số 3, Khu công nghiệp Hòa Khánh, phường Hòa Khánh Bắc, quận Liên Chiểu, Đà Nẵng Lê Quang Thịnh: 0905916379</v>
      </c>
    </row>
    <row r="7" spans="1:7" ht="37.5" customHeight="1" x14ac:dyDescent="0.25">
      <c r="A7" s="54">
        <f>IF(B7="","",SUBTOTAL(3,$B$2:B7))</f>
        <v>6</v>
      </c>
      <c r="B7" s="55" t="s">
        <v>254</v>
      </c>
      <c r="C7" s="55"/>
      <c r="D7" s="55" t="s">
        <v>255</v>
      </c>
      <c r="E7" s="55" t="s">
        <v>415</v>
      </c>
      <c r="F7" s="55" t="s">
        <v>263</v>
      </c>
      <c r="G7" s="57" t="str">
        <f t="shared" si="0"/>
        <v>CÔNG TY TRÁCH NHIỆM HỮU HẠN DƯỢC PHẨM AN VƯỢNG Nhà số 7, lô TT06B KĐT Tây Nam Linh Đàm, P.Hoàng Liệt, Q.Hoàng Mai. Ms Thơm: 0976025292</v>
      </c>
    </row>
    <row r="8" spans="1:7" ht="37.5" customHeight="1" x14ac:dyDescent="0.25">
      <c r="A8" s="50">
        <f>IF(B8="","",SUBTOTAL(3,$B$2:B8))</f>
        <v>7</v>
      </c>
      <c r="B8" s="51" t="s">
        <v>344</v>
      </c>
      <c r="C8" s="51" t="s">
        <v>344</v>
      </c>
      <c r="D8" s="51" t="s">
        <v>255</v>
      </c>
      <c r="E8" s="51" t="s">
        <v>345</v>
      </c>
      <c r="F8" s="51" t="s">
        <v>346</v>
      </c>
      <c r="G8" s="53" t="str">
        <f t="shared" si="0"/>
        <v>CÔNG TY TRÁCH NHIỆM HỮU HẠN DƯỢC PHẨM AN VƯỢNG CN-1, Khu CN Phú Nghĩa, xã Phúc Nghĩa, huyện Chương Mỹ , Hà Nội. Ms Hiền: 0986980583</v>
      </c>
    </row>
    <row r="9" spans="1:7" ht="37.5" customHeight="1" x14ac:dyDescent="0.25">
      <c r="A9" s="54">
        <f>IF(B9="","",SUBTOTAL(3,$B$2:B9))</f>
        <v>8</v>
      </c>
      <c r="B9" s="55" t="s">
        <v>141</v>
      </c>
      <c r="C9" s="55" t="s">
        <v>201</v>
      </c>
      <c r="D9" s="55" t="s">
        <v>142</v>
      </c>
      <c r="E9" s="55" t="s">
        <v>178</v>
      </c>
      <c r="F9" s="55" t="s">
        <v>112</v>
      </c>
      <c r="G9" s="57" t="str">
        <f t="shared" si="0"/>
        <v>BS TRÌNH-NGHỆ AN 41 Đinh Văn Chất, Yên Bình, Xã Hưng Đông, TP. Vinh, Nghệ An Hiếu: 0974676446</v>
      </c>
    </row>
    <row r="10" spans="1:7" ht="37.5" customHeight="1" x14ac:dyDescent="0.25">
      <c r="A10" s="50">
        <f>IF(B10="","",SUBTOTAL(3,$B$2:B10))</f>
        <v>9</v>
      </c>
      <c r="B10" s="51" t="s">
        <v>240</v>
      </c>
      <c r="C10" s="51"/>
      <c r="D10" s="51" t="s">
        <v>241</v>
      </c>
      <c r="E10" s="51" t="s">
        <v>242</v>
      </c>
      <c r="F10" s="51" t="s">
        <v>413</v>
      </c>
      <c r="G10" s="53" t="str">
        <f t="shared" si="0"/>
        <v>BỆNH VIỆN ĐA KHOA TỈNH NAM ĐỊNH số 2 Trần Quốc Toản, thành phố Nam Định Chị Hạnh kho: 0943.145.637</v>
      </c>
    </row>
    <row r="11" spans="1:7" ht="37.5" customHeight="1" x14ac:dyDescent="0.25">
      <c r="A11" s="54">
        <f>IF(B11="","",SUBTOTAL(3,$B$2:B11))</f>
        <v>10</v>
      </c>
      <c r="B11" s="55" t="s">
        <v>308</v>
      </c>
      <c r="C11" s="55" t="s">
        <v>309</v>
      </c>
      <c r="D11" s="55" t="s">
        <v>274</v>
      </c>
      <c r="E11" s="55" t="s">
        <v>310</v>
      </c>
      <c r="F11" s="55" t="s">
        <v>311</v>
      </c>
      <c r="G11" s="57" t="str">
        <f t="shared" si="0"/>
        <v xml:space="preserve">CÔNG TY CP TTH HÀ TĨNH- CHI NHÁNH BỆNH VIỆN ĐA KHOA TTH HÀ TĨNH Số 01, đường Ngô Quyền, Xã Thạch Trung, Thành phố Hà Tĩnh, Tỉnh Hà Tĩnh   Ms Thủy: 0916744855 </v>
      </c>
    </row>
    <row r="12" spans="1:7" ht="37.5" customHeight="1" x14ac:dyDescent="0.25">
      <c r="A12" s="50">
        <f>IF(B12="","",SUBTOTAL(3,$B$2:B12))</f>
        <v>11</v>
      </c>
      <c r="B12" s="52" t="s">
        <v>191</v>
      </c>
      <c r="C12" s="52" t="s">
        <v>105</v>
      </c>
      <c r="D12" s="52" t="s">
        <v>106</v>
      </c>
      <c r="E12" s="52" t="s">
        <v>172</v>
      </c>
      <c r="F12" s="52" t="s">
        <v>107</v>
      </c>
      <c r="G12" s="53" t="str">
        <f t="shared" si="0"/>
        <v>CÔNG TY CỔ PHẦN BV 115 Xóm 10, xã Nghi Phú, TP vinh, Tỉnh Nghệ An Mr Vinh : 0919. 681. 147</v>
      </c>
    </row>
    <row r="13" spans="1:7" s="22" customFormat="1" ht="37.5" customHeight="1" x14ac:dyDescent="0.25">
      <c r="A13" s="54">
        <f>IF(B13="","",SUBTOTAL(3,$B$2:B13))</f>
        <v>12</v>
      </c>
      <c r="B13" s="55" t="s">
        <v>271</v>
      </c>
      <c r="C13" s="55"/>
      <c r="D13" s="55" t="s">
        <v>270</v>
      </c>
      <c r="E13" s="55" t="s">
        <v>269</v>
      </c>
      <c r="F13" s="55" t="s">
        <v>268</v>
      </c>
      <c r="G13" s="57" t="str">
        <f t="shared" si="0"/>
        <v>BỆNH VIỆN SẢN NHI NINH BÌNH Đường Phan Chu Trinh, phường Nam Thành, TP Ninh Bình Ms Hằng: 0976903216</v>
      </c>
    </row>
    <row r="14" spans="1:7" s="22" customFormat="1" ht="37.5" customHeight="1" x14ac:dyDescent="0.25">
      <c r="A14" s="50">
        <f>IF(B14="","",SUBTOTAL(3,$B$2:B14))</f>
        <v>13</v>
      </c>
      <c r="B14" s="52" t="s">
        <v>195</v>
      </c>
      <c r="C14" s="52" t="s">
        <v>183</v>
      </c>
      <c r="D14" s="52" t="s">
        <v>87</v>
      </c>
      <c r="E14" s="51" t="s">
        <v>180</v>
      </c>
      <c r="F14" s="52" t="s">
        <v>88</v>
      </c>
      <c r="G14" s="53" t="str">
        <f t="shared" si="0"/>
        <v>CHI NHÁNH CẦN THƠ A3-22 Đường số 10, KDC Nam Long, KV2, phường Hưng Thạnh, quận Cái Răng, TP Cần Thơ Trần Vĩnh Phú: 0907353133</v>
      </c>
    </row>
    <row r="15" spans="1:7" s="22" customFormat="1" ht="37.5" customHeight="1" x14ac:dyDescent="0.25">
      <c r="A15" s="54">
        <f>IF(B15="","",SUBTOTAL(3,$B$2:B15))</f>
        <v>14</v>
      </c>
      <c r="B15" s="55" t="s">
        <v>440</v>
      </c>
      <c r="C15" s="55" t="s">
        <v>441</v>
      </c>
      <c r="D15" s="55" t="s">
        <v>441</v>
      </c>
      <c r="E15" s="55" t="s">
        <v>442</v>
      </c>
      <c r="F15" s="55" t="s">
        <v>443</v>
      </c>
      <c r="G15" s="57" t="str">
        <f t="shared" si="0"/>
        <v>CÔNG TY TNHH TM DP HẠNH HẢI 197 Nguyễn Trãi. P. Tân Sơn, TP Thanh Hóa ĐT: 0985773112</v>
      </c>
    </row>
    <row r="16" spans="1:7" s="22" customFormat="1" ht="37.5" customHeight="1" x14ac:dyDescent="0.25">
      <c r="A16" s="50">
        <f>IF(B16="","",SUBTOTAL(3,$B$2:B16))</f>
        <v>15</v>
      </c>
      <c r="B16" s="51" t="s">
        <v>390</v>
      </c>
      <c r="C16" s="58"/>
      <c r="D16" s="51" t="s">
        <v>391</v>
      </c>
      <c r="E16" s="51" t="s">
        <v>392</v>
      </c>
      <c r="F16" s="51" t="s">
        <v>393</v>
      </c>
      <c r="G16" s="53" t="str">
        <f t="shared" si="0"/>
        <v>CÔNG TY THÀNH ĐÔ NGHỆ AN 16 NGuyễn Thị Minh Khai P. Hưng Bình, TP. Vinh Mr Hiếu: 0974676446</v>
      </c>
    </row>
    <row r="17" spans="1:7" s="22" customFormat="1" ht="37.5" customHeight="1" x14ac:dyDescent="0.25">
      <c r="A17" s="54">
        <f>IF(B17="","",SUBTOTAL(3,$B$2:B17))</f>
        <v>16</v>
      </c>
      <c r="B17" s="55" t="s">
        <v>421</v>
      </c>
      <c r="C17" s="55"/>
      <c r="D17" s="55" t="s">
        <v>422</v>
      </c>
      <c r="E17" s="55" t="s">
        <v>423</v>
      </c>
      <c r="F17" s="55"/>
      <c r="G17" s="57" t="str">
        <f t="shared" si="0"/>
        <v xml:space="preserve">CÔNG TY TNHH DANHSON GROUP Phòng 303, tầng 3, số 253 Dũng Sĩ Thanh Khê, Phường Thanh Khê Tây, Quận Thanh Khê, Thành phố Đà Nẵng, Việt Nam. </v>
      </c>
    </row>
    <row r="18" spans="1:7" s="22" customFormat="1" ht="37.5" customHeight="1" x14ac:dyDescent="0.25">
      <c r="A18" s="50">
        <f>IF(B18="","",SUBTOTAL(3,$B$2:B18))</f>
        <v>17</v>
      </c>
      <c r="B18" s="52" t="s">
        <v>210</v>
      </c>
      <c r="C18" s="52" t="s">
        <v>123</v>
      </c>
      <c r="D18" s="52" t="s">
        <v>124</v>
      </c>
      <c r="E18" s="52" t="s">
        <v>125</v>
      </c>
      <c r="F18" s="51" t="s">
        <v>316</v>
      </c>
      <c r="G18" s="53" t="str">
        <f t="shared" si="0"/>
        <v xml:space="preserve">CÔNG TY DƯỢC PHẨM ĐÔNG Á Lô A2-CN3, Cụm CN Từ Liêm, Q.Bắc Từ Liêm, Tp. Hà Nội Ms Nhung: 0918605596 / A Trần Võ Sơn: 0978685599 / Anh Xuân 0989082875 / Trường: 096338064 </v>
      </c>
    </row>
    <row r="19" spans="1:7" s="22" customFormat="1" ht="37.5" customHeight="1" x14ac:dyDescent="0.25">
      <c r="A19" s="54">
        <f>IF(B19="","",SUBTOTAL(3,$B$2:B19))</f>
        <v>18</v>
      </c>
      <c r="B19" s="56" t="s">
        <v>211</v>
      </c>
      <c r="C19" s="56" t="s">
        <v>123</v>
      </c>
      <c r="D19" s="56" t="s">
        <v>124</v>
      </c>
      <c r="E19" s="56" t="s">
        <v>126</v>
      </c>
      <c r="F19" s="56" t="s">
        <v>272</v>
      </c>
      <c r="G19" s="57" t="str">
        <f t="shared" si="0"/>
        <v>CÔNG TY DƯỢC PHẨM ĐÔNG Á Lô 1-1, cụm 1, đường M14, KCN Tân Bình mở rộng, P.Bình Hưng Hòa, Q.Bình Tân, Tp. Hồ Chí Minh Anh Lê Bảo Thạc: 0813995463 / Ms Nhỏ: 0947711004</v>
      </c>
    </row>
    <row r="20" spans="1:7" s="22" customFormat="1" ht="37.5" customHeight="1" x14ac:dyDescent="0.25">
      <c r="A20" s="50">
        <f>IF(B20="","",SUBTOTAL(3,$B$2:B20))</f>
        <v>19</v>
      </c>
      <c r="B20" s="52" t="s">
        <v>212</v>
      </c>
      <c r="C20" s="52" t="s">
        <v>123</v>
      </c>
      <c r="D20" s="52" t="s">
        <v>124</v>
      </c>
      <c r="E20" s="52" t="s">
        <v>127</v>
      </c>
      <c r="F20" s="52" t="s">
        <v>349</v>
      </c>
      <c r="G20" s="53" t="str">
        <f t="shared" si="0"/>
        <v>CÔNG TY DƯỢC PHẨM ĐÔNG Á Đường số 4, KCN Hòa Khánh Bắc, Q.Liên Chiểu, Tp. Đà Nẵng Phan Chánh Nhật: 0905988177</v>
      </c>
    </row>
    <row r="21" spans="1:7" s="22" customFormat="1" ht="37.5" customHeight="1" x14ac:dyDescent="0.25">
      <c r="A21" s="54">
        <f>IF(B21="","",SUBTOTAL(3,$B$2:B21))</f>
        <v>20</v>
      </c>
      <c r="B21" s="56" t="s">
        <v>220</v>
      </c>
      <c r="C21" s="55" t="s">
        <v>410</v>
      </c>
      <c r="D21" s="55" t="s">
        <v>247</v>
      </c>
      <c r="E21" s="55" t="s">
        <v>154</v>
      </c>
      <c r="F21" s="55" t="s">
        <v>155</v>
      </c>
      <c r="G21" s="57" t="str">
        <f t="shared" si="0"/>
        <v>KHO DKSH - CHI NHÁNH HÀ NỘI Lô 38, Đường 36, Khu công nghiệp Quang Minh, Thị trấn Quang Minh, Huyện Mê Linh, Thành phố Hà Nội, Việt Nam Mr. Nguyễn Xuân Bách Phone: 0978 268 144</v>
      </c>
    </row>
    <row r="22" spans="1:7" s="22" customFormat="1" ht="37.5" customHeight="1" x14ac:dyDescent="0.25">
      <c r="A22" s="50">
        <f>IF(B22="","",SUBTOTAL(3,$B$2:B22))</f>
        <v>21</v>
      </c>
      <c r="B22" s="52" t="s">
        <v>219</v>
      </c>
      <c r="C22" s="52" t="s">
        <v>204</v>
      </c>
      <c r="D22" s="52" t="s">
        <v>148</v>
      </c>
      <c r="E22" s="52" t="s">
        <v>149</v>
      </c>
      <c r="F22" s="52" t="s">
        <v>327</v>
      </c>
      <c r="G22" s="53" t="str">
        <f t="shared" si="0"/>
        <v>KHO DKSH VSIP BÌNH DƯƠNG Số 23 Đại Lộ Độc Lập, Khu công nghiệp Việt Nam – Singapore 1, Phường Bình Hòa, thị xã Thuận An, Tỉnh Bình Dương, Việt Nam Nguyễn Bá Công-+84 79.856.4567/ Mr.Chí Thiện 0908504841</v>
      </c>
    </row>
    <row r="23" spans="1:7" s="22" customFormat="1" ht="37.5" customHeight="1" x14ac:dyDescent="0.25">
      <c r="A23" s="54">
        <f>IF(B23="","",SUBTOTAL(3,$B$2:B23))</f>
        <v>22</v>
      </c>
      <c r="B23" s="56" t="s">
        <v>218</v>
      </c>
      <c r="C23" s="56" t="s">
        <v>205</v>
      </c>
      <c r="D23" s="56" t="s">
        <v>150</v>
      </c>
      <c r="E23" s="56" t="s">
        <v>151</v>
      </c>
      <c r="F23" s="56" t="s">
        <v>409</v>
      </c>
      <c r="G23" s="57" t="str">
        <f t="shared" si="0"/>
        <v>CÔNG TY CỔ PHẦN DƯỢC - THIẾT BỊ Y TẾ ĐÀ NẴNG Đường số 9, Khu công nghiệp Hòa Cầm, Quận Cẩm Lệ, Thành phố Đà Nẵng. Mr. Châu Văn Quốc Bình -ĐT: 0905 923 004 / Phan Nguyên Nhân-ĐT: 090557516</v>
      </c>
    </row>
    <row r="24" spans="1:7" s="22" customFormat="1" ht="37.5" customHeight="1" x14ac:dyDescent="0.25">
      <c r="A24" s="50">
        <f>IF(B24="","",SUBTOTAL(3,$B$2:B24))</f>
        <v>23</v>
      </c>
      <c r="B24" s="51" t="s">
        <v>312</v>
      </c>
      <c r="C24" s="51" t="s">
        <v>313</v>
      </c>
      <c r="D24" s="51" t="s">
        <v>313</v>
      </c>
      <c r="E24" s="51" t="s">
        <v>314</v>
      </c>
      <c r="F24" s="51" t="s">
        <v>315</v>
      </c>
      <c r="G24" s="53" t="str">
        <f t="shared" si="0"/>
        <v>CÔNG TY TRÁCH NHIỆM HỮU HẠN DƯỢC PHẨM AN 793/60B Trần Xuân Soạn, Phường Tân Hưng, Quận 7, TP.HCM Ms Nhung: 0903.994.808</v>
      </c>
    </row>
    <row r="25" spans="1:7" s="22" customFormat="1" ht="37.5" customHeight="1" x14ac:dyDescent="0.25">
      <c r="A25" s="54">
        <f>IF(B25="","",SUBTOTAL(3,$B$2:B25))</f>
        <v>24</v>
      </c>
      <c r="B25" s="56" t="s">
        <v>278</v>
      </c>
      <c r="C25" s="56" t="s">
        <v>402</v>
      </c>
      <c r="D25" s="56" t="s">
        <v>279</v>
      </c>
      <c r="E25" s="55" t="s">
        <v>93</v>
      </c>
      <c r="F25" s="56" t="s">
        <v>94</v>
      </c>
      <c r="G25" s="57" t="str">
        <f t="shared" si="0"/>
        <v>KHO DSG TÂN TẠO Kho Danapha tại Tân Tạo - Lô 14, đường số 8, KCN Tân Tạo, P.Tân Tạo A, Q.Bình Tân, TP.HCM (01000TT) Hoàng Thị Thanh Bình: 0914 127 404</v>
      </c>
    </row>
    <row r="26" spans="1:7" s="22" customFormat="1" ht="37.5" customHeight="1" x14ac:dyDescent="0.25">
      <c r="A26" s="50">
        <f>IF(B26="","",SUBTOTAL(3,$B$2:B26))</f>
        <v>25</v>
      </c>
      <c r="B26" s="51" t="s">
        <v>288</v>
      </c>
      <c r="C26" s="51" t="s">
        <v>289</v>
      </c>
      <c r="D26" s="51" t="s">
        <v>4</v>
      </c>
      <c r="E26" s="51" t="s">
        <v>5</v>
      </c>
      <c r="F26" s="51"/>
      <c r="G26" s="53" t="str">
        <f t="shared" si="0"/>
        <v xml:space="preserve">CÔNG TY CỔ PHẦN DƯỢC DANAPHA 253 Dũng Sĩ Thanh Khê, P. Thanh Khê Tây, Q.Thanh Khê, TP. Đà Nẵng </v>
      </c>
    </row>
    <row r="27" spans="1:7" s="22" customFormat="1" ht="37.5" customHeight="1" x14ac:dyDescent="0.25">
      <c r="A27" s="54">
        <f>IF(B27="","",SUBTOTAL(3,$B$2:B27))</f>
        <v>26</v>
      </c>
      <c r="B27" s="55" t="s">
        <v>305</v>
      </c>
      <c r="C27" s="55"/>
      <c r="D27" s="55" t="s">
        <v>417</v>
      </c>
      <c r="E27" s="55" t="s">
        <v>307</v>
      </c>
      <c r="F27" s="55" t="s">
        <v>306</v>
      </c>
      <c r="G27" s="57" t="str">
        <f t="shared" si="0"/>
        <v>MRS TUYẾN - ĐT: 0979993636 Số 21, đường số 2, Khu dân cư  Khang An, Phường Phú Hữu, Q9, Tp.Hồ Chí Minh. Mrs. Tuyến - ĐT: 0979993636</v>
      </c>
    </row>
    <row r="28" spans="1:7" s="22" customFormat="1" ht="37.5" customHeight="1" x14ac:dyDescent="0.25">
      <c r="A28" s="50">
        <f>IF(B28="","",SUBTOTAL(3,$B$2:B28))</f>
        <v>27</v>
      </c>
      <c r="B28" s="51" t="s">
        <v>222</v>
      </c>
      <c r="C28" s="51" t="s">
        <v>412</v>
      </c>
      <c r="D28" s="51" t="s">
        <v>157</v>
      </c>
      <c r="E28" s="51" t="s">
        <v>156</v>
      </c>
      <c r="F28" s="51" t="s">
        <v>158</v>
      </c>
      <c r="G28" s="53" t="str">
        <f t="shared" si="0"/>
        <v xml:space="preserve">CÔNG TY CỔ PHẦN DƯỢC PHẨM THIẾT BỊ Y TẾ HÀ NỘI Kho HAP2 -Lô 8B Khu Công nghiệp Quang Minh, Thị Trấn Quang Minh, Huyện Mê Linh, Thành phố Hà Nội, Việt Nam Mr. Nguyễn Phúc Hậu DT: 0945053488 / Nguyễn Văn Sáng DT: 0989895756 </v>
      </c>
    </row>
    <row r="29" spans="1:7" s="22" customFormat="1" ht="37.5" customHeight="1" x14ac:dyDescent="0.25">
      <c r="A29" s="54">
        <f>IF(B29="","",SUBTOTAL(3,$B$2:B29))</f>
        <v>28</v>
      </c>
      <c r="B29" s="55" t="s">
        <v>221</v>
      </c>
      <c r="C29" s="55" t="s">
        <v>206</v>
      </c>
      <c r="D29" s="55" t="s">
        <v>159</v>
      </c>
      <c r="E29" s="55" t="s">
        <v>160</v>
      </c>
      <c r="F29" s="55" t="s">
        <v>411</v>
      </c>
      <c r="G29" s="57" t="str">
        <f t="shared" si="0"/>
        <v>CÔNG TY TNHH DƯỢC PHẨM GIGAMED Lô B4, Đường K1, KCN Cát Lái, Phường Thạnh Mỹ Lợi, Q2, TP Thủ Đức, TP HCM Trần Anh Đức DT:  0907195640</v>
      </c>
    </row>
    <row r="30" spans="1:7" s="22" customFormat="1" ht="37.5" customHeight="1" x14ac:dyDescent="0.25">
      <c r="A30" s="50">
        <f>IF(B30="","",SUBTOTAL(3,$B$2:B30))</f>
        <v>29</v>
      </c>
      <c r="B30" s="51" t="s">
        <v>223</v>
      </c>
      <c r="C30" s="51" t="s">
        <v>207</v>
      </c>
      <c r="D30" s="51" t="s">
        <v>150</v>
      </c>
      <c r="E30" s="51" t="s">
        <v>151</v>
      </c>
      <c r="F30" s="51" t="s">
        <v>409</v>
      </c>
      <c r="G30" s="53" t="str">
        <f t="shared" si="0"/>
        <v>CÔNG TY CỔ PHẦN DƯỢC - THIẾT BỊ Y TẾ ĐÀ NẴNG Đường số 9, Khu công nghiệp Hòa Cầm, Quận Cẩm Lệ, Thành phố Đà Nẵng. Mr. Châu Văn Quốc Bình -ĐT: 0905 923 004 / Phan Nguyên Nhân-ĐT: 090557516</v>
      </c>
    </row>
    <row r="31" spans="1:7" s="22" customFormat="1" ht="37.5" customHeight="1" x14ac:dyDescent="0.25">
      <c r="A31" s="54">
        <f>IF(B31="","",SUBTOTAL(3,$B$2:B31))</f>
        <v>30</v>
      </c>
      <c r="B31" s="56" t="s">
        <v>213</v>
      </c>
      <c r="C31" s="56" t="s">
        <v>404</v>
      </c>
      <c r="D31" s="56" t="s">
        <v>295</v>
      </c>
      <c r="E31" s="56" t="s">
        <v>253</v>
      </c>
      <c r="F31" s="56" t="s">
        <v>128</v>
      </c>
      <c r="G31" s="57" t="str">
        <f t="shared" si="0"/>
        <v>CÔNG TY HADICO - CHỢ HAPU Giao tại chợ Hapu - 85 Vũ Trọng Phụng, Q.Thanh Xuân, Hà Nội Trần Thị Thảo: 039 3101679</v>
      </c>
    </row>
    <row r="32" spans="1:7" s="22" customFormat="1" ht="37.5" customHeight="1" x14ac:dyDescent="0.25">
      <c r="A32" s="50">
        <f>IF(B32="","",SUBTOTAL(3,$B$2:B32))</f>
        <v>31</v>
      </c>
      <c r="B32" s="51" t="s">
        <v>214</v>
      </c>
      <c r="C32" s="51"/>
      <c r="D32" s="51" t="s">
        <v>424</v>
      </c>
      <c r="E32" s="51" t="s">
        <v>425</v>
      </c>
      <c r="F32" s="51" t="s">
        <v>129</v>
      </c>
      <c r="G32" s="53" t="str">
        <f t="shared" si="0"/>
        <v>CÔNG TY CP DƯỢC HADICO-NV5-21 Khu nhà ở cho CBCS cục B42, B57-Tổng cục V-Bộ Công An, Xã Tân Triều, huyện Thanh Trì, TP. Hà Nội Chị Tạ Thanh: 0327629999</v>
      </c>
    </row>
    <row r="33" spans="1:7" s="22" customFormat="1" ht="37.5" customHeight="1" x14ac:dyDescent="0.25">
      <c r="A33" s="54">
        <f>IF(B33="","",SUBTOTAL(3,$B$2:B33))</f>
        <v>32</v>
      </c>
      <c r="B33" s="56" t="s">
        <v>196</v>
      </c>
      <c r="C33" s="56" t="s">
        <v>184</v>
      </c>
      <c r="D33" s="56" t="s">
        <v>89</v>
      </c>
      <c r="E33" s="56" t="s">
        <v>90</v>
      </c>
      <c r="F33" s="56" t="s">
        <v>91</v>
      </c>
      <c r="G33" s="57" t="str">
        <f t="shared" si="0"/>
        <v>CHI NHÁNH HÀ NỘI 09- Ngõ 87 Nguyễn Văn Trỗi, Thanh Xuân, Hà Nội Nguyễn Thúy Hà: 0902 091 284</v>
      </c>
    </row>
    <row r="34" spans="1:7" s="22" customFormat="1" ht="37.5" customHeight="1" x14ac:dyDescent="0.25">
      <c r="A34" s="50">
        <f>IF(B34="","",SUBTOTAL(3,$B$2:B34))</f>
        <v>33</v>
      </c>
      <c r="B34" s="52" t="s">
        <v>192</v>
      </c>
      <c r="C34" s="52" t="s">
        <v>108</v>
      </c>
      <c r="D34" s="52" t="s">
        <v>109</v>
      </c>
      <c r="E34" s="52" t="s">
        <v>173</v>
      </c>
      <c r="F34" s="52" t="s">
        <v>403</v>
      </c>
      <c r="G34" s="53" t="str">
        <f t="shared" ref="G34:G65" si="1">D34&amp;" "
&amp;E34&amp;
" "&amp;F34</f>
        <v>CÔNG TY CỔ PHẦN DƯỢC HÀ TĨNH Số 167 Đường Hà Huy Tập, Phường Nam Hà, TP Hà Tĩnh, Tỉnh Hà Tĩnh Chị Hương : 0976. 084 .943</v>
      </c>
    </row>
    <row r="35" spans="1:7" s="22" customFormat="1" ht="37.5" customHeight="1" x14ac:dyDescent="0.25">
      <c r="A35" s="54">
        <f>IF(B35="","",SUBTOTAL(3,$B$2:B35))</f>
        <v>34</v>
      </c>
      <c r="B35" s="56" t="s">
        <v>185</v>
      </c>
      <c r="C35" s="56" t="s">
        <v>185</v>
      </c>
      <c r="D35" s="56" t="s">
        <v>92</v>
      </c>
      <c r="E35" s="55" t="s">
        <v>93</v>
      </c>
      <c r="F35" s="56" t="s">
        <v>94</v>
      </c>
      <c r="G35" s="57" t="str">
        <f t="shared" si="1"/>
        <v>CHI NHÁNH HỒ CHÍ MINH Kho Danapha tại Tân Tạo - Lô 14, đường số 8, KCN Tân Tạo, P.Tân Tạo A, Q.Bình Tân, TP.HCM (01000TT) Hoàng Thị Thanh Bình: 0914 127 404</v>
      </c>
    </row>
    <row r="36" spans="1:7" s="22" customFormat="1" ht="37.5" customHeight="1" x14ac:dyDescent="0.25">
      <c r="A36" s="50">
        <f>IF(B36="","",SUBTOTAL(3,$B$2:B36))</f>
        <v>35</v>
      </c>
      <c r="B36" s="51" t="s">
        <v>166</v>
      </c>
      <c r="C36" s="51" t="s">
        <v>209</v>
      </c>
      <c r="D36" s="51" t="s">
        <v>164</v>
      </c>
      <c r="E36" s="51" t="s">
        <v>165</v>
      </c>
      <c r="F36" s="51" t="s">
        <v>167</v>
      </c>
      <c r="G36" s="53" t="str">
        <f t="shared" si="1"/>
        <v>CHI NHÁNH CÔNG TY TNHH DP HOA SEN 107 Lê Công Thanh, phường Hai Bà Trưng, thành phố Phủ Lý, tỉnh Hà Nam Nguyễn Thùy Linh: 0915310494</v>
      </c>
    </row>
    <row r="37" spans="1:7" s="22" customFormat="1" ht="37.5" customHeight="1" x14ac:dyDescent="0.25">
      <c r="A37" s="54">
        <f>IF(B37="","",SUBTOTAL(3,$B$2:B37))</f>
        <v>36</v>
      </c>
      <c r="B37" s="55" t="s">
        <v>377</v>
      </c>
      <c r="C37" s="55"/>
      <c r="D37" s="55" t="s">
        <v>378</v>
      </c>
      <c r="E37" s="55" t="s">
        <v>379</v>
      </c>
      <c r="F37" s="55" t="s">
        <v>380</v>
      </c>
      <c r="G37" s="57" t="str">
        <f t="shared" si="1"/>
        <v>CÔNG TY TNHH HƯNG BÌNH HƯỜNG Số 390 Hoàng Văn Thụ P. Quang Trung TP. Nam Định tỉnh Nam Định Cô Ngọc 0398040268</v>
      </c>
    </row>
    <row r="38" spans="1:7" s="22" customFormat="1" ht="37.5" customHeight="1" x14ac:dyDescent="0.25">
      <c r="A38" s="50">
        <f>IF(B38="","",SUBTOTAL(3,$B$2:B38))</f>
        <v>37</v>
      </c>
      <c r="B38" s="51" t="s">
        <v>134</v>
      </c>
      <c r="C38" s="51" t="s">
        <v>135</v>
      </c>
      <c r="D38" s="51" t="s">
        <v>135</v>
      </c>
      <c r="E38" s="51" t="s">
        <v>136</v>
      </c>
      <c r="F38" s="52" t="s">
        <v>300</v>
      </c>
      <c r="G38" s="53" t="str">
        <f t="shared" si="1"/>
        <v>CÔNG TY TNHH INDICO 741 – 743 Hậu Giang, Phường 11, Quận 6, TP. Hồ Chí Minh. Nguyên Anh-0707970501/ Phương: 0974947374</v>
      </c>
    </row>
    <row r="39" spans="1:7" s="22" customFormat="1" ht="37.5" customHeight="1" x14ac:dyDescent="0.25">
      <c r="A39" s="54">
        <f>IF(B39="","",SUBTOTAL(3,$B$2:B39))</f>
        <v>38</v>
      </c>
      <c r="B39" s="56" t="s">
        <v>198</v>
      </c>
      <c r="C39" s="56" t="s">
        <v>186</v>
      </c>
      <c r="D39" s="56" t="s">
        <v>95</v>
      </c>
      <c r="E39" s="56" t="s">
        <v>169</v>
      </c>
      <c r="F39" s="56" t="s">
        <v>322</v>
      </c>
      <c r="G39" s="57" t="str">
        <f t="shared" si="1"/>
        <v>CHI NHÁNH KHÁNH HÒA Lô 27-28 đường số 8, KĐT mới Lê Hồng Phong-Venesia, P.Phước Hải, TP.Nha Trang, Khánh Hòa (01360SP) Ms Sáng: 0258.650.43.43 - 0988 542 639</v>
      </c>
    </row>
    <row r="40" spans="1:7" s="22" customFormat="1" ht="37.5" customHeight="1" x14ac:dyDescent="0.25">
      <c r="A40" s="50">
        <f>IF(B40="","",SUBTOTAL(3,$B$2:B40))</f>
        <v>39</v>
      </c>
      <c r="B40" s="51" t="s">
        <v>194</v>
      </c>
      <c r="C40" s="51" t="s">
        <v>120</v>
      </c>
      <c r="D40" s="51" t="s">
        <v>120</v>
      </c>
      <c r="E40" s="51" t="s">
        <v>121</v>
      </c>
      <c r="F40" s="51" t="s">
        <v>122</v>
      </c>
      <c r="G40" s="53" t="str">
        <f t="shared" si="1"/>
        <v>CÔNG TY CỔ PHẦN DANSON GROUP Kho B2.3, Số 63 Vạn Phúc, Hà Đông, Hà Nội Hoàng Thị Ngân: 098.250.4299</v>
      </c>
    </row>
    <row r="41" spans="1:7" s="22" customFormat="1" ht="37.5" customHeight="1" x14ac:dyDescent="0.25">
      <c r="A41" s="54">
        <f>IF(B41="","",SUBTOTAL(3,$B$2:B41))</f>
        <v>40</v>
      </c>
      <c r="B41" s="56" t="s">
        <v>130</v>
      </c>
      <c r="C41" s="56" t="s">
        <v>405</v>
      </c>
      <c r="D41" s="56" t="s">
        <v>131</v>
      </c>
      <c r="E41" s="55" t="s">
        <v>132</v>
      </c>
      <c r="F41" s="55" t="s">
        <v>133</v>
      </c>
      <c r="G41" s="57" t="str">
        <f t="shared" si="1"/>
        <v>CÔNG TY TNHH DƯỢC KIM ĐÔ Lô II-11, Cụm 1, Nhóm Công Nghiệp II, đường số 8, Khu Công nghiệp Tân Bình, P. Tây Thạnh, Quận Tân Phú, TP Hồ Chí Minh Chị Cẩm Dung: 0974 751164</v>
      </c>
    </row>
    <row r="42" spans="1:7" s="22" customFormat="1" ht="37.5" customHeight="1" x14ac:dyDescent="0.25">
      <c r="A42" s="50">
        <f>IF(B42="","",SUBTOTAL(3,$B$2:B42))</f>
        <v>41</v>
      </c>
      <c r="B42" s="51" t="s">
        <v>235</v>
      </c>
      <c r="C42" s="51"/>
      <c r="D42" s="51" t="s">
        <v>236</v>
      </c>
      <c r="E42" s="51" t="s">
        <v>237</v>
      </c>
      <c r="F42" s="51" t="s">
        <v>238</v>
      </c>
      <c r="G42" s="53" t="str">
        <f t="shared" si="1"/>
        <v>CHI NHÁNH CÔNG TY TNHH DƯỢC KIM ĐÔ Số 02 Ngách 8 Ngõ 117 Thái Hà , Đống Đa - Hà Nội Ms Thục: 0936221512 / Ms Phương: 0902361001 /0243.537658</v>
      </c>
    </row>
    <row r="43" spans="1:7" s="22" customFormat="1" ht="37.5" customHeight="1" x14ac:dyDescent="0.25">
      <c r="A43" s="54">
        <f>IF(B43="","",SUBTOTAL(3,$B$2:B43))</f>
        <v>42</v>
      </c>
      <c r="B43" s="55" t="s">
        <v>330</v>
      </c>
      <c r="C43" s="55"/>
      <c r="D43" s="55" t="s">
        <v>331</v>
      </c>
      <c r="E43" s="55" t="s">
        <v>332</v>
      </c>
      <c r="F43" s="55"/>
      <c r="G43" s="57" t="str">
        <f t="shared" si="1"/>
        <v xml:space="preserve">KHO NHÀ THUỐC LONG CHÂU Nhà kho 2A, Số 9, Nguyễn Văn Tạo, xã Long Thới,  Huyện Nhà Bè, HCM </v>
      </c>
    </row>
    <row r="44" spans="1:7" s="22" customFormat="1" ht="37.5" customHeight="1" x14ac:dyDescent="0.25">
      <c r="A44" s="50">
        <f>IF(B44="","",SUBTOTAL(3,$B$2:B44))</f>
        <v>43</v>
      </c>
      <c r="B44" s="51" t="s">
        <v>363</v>
      </c>
      <c r="C44" s="51"/>
      <c r="D44" s="51" t="s">
        <v>331</v>
      </c>
      <c r="E44" s="51" t="s">
        <v>364</v>
      </c>
      <c r="F44" s="51" t="s">
        <v>365</v>
      </c>
      <c r="G44" s="53" t="str">
        <f t="shared" si="1"/>
        <v>KHO NHÀ THUỐC LONG CHÂU Kho nhận hàng Long Châu miền Nam: Nhà kho 2A, Số 9 , Nguyễn Văn Tạo, xã Long Thới ,  Huyện Nhà Bè , HCM Bùi Thị Thuỳ Trang: 0933320560</v>
      </c>
    </row>
    <row r="45" spans="1:7" s="22" customFormat="1" ht="37.5" customHeight="1" x14ac:dyDescent="0.25">
      <c r="A45" s="54">
        <f>IF(B45="","",SUBTOTAL(3,$B$2:B45))</f>
        <v>44</v>
      </c>
      <c r="B45" s="55" t="s">
        <v>360</v>
      </c>
      <c r="C45" s="55"/>
      <c r="D45" s="55" t="s">
        <v>331</v>
      </c>
      <c r="E45" s="55" t="s">
        <v>361</v>
      </c>
      <c r="F45" s="55" t="s">
        <v>362</v>
      </c>
      <c r="G45" s="57" t="str">
        <f t="shared" si="1"/>
        <v>KHO NHÀ THUỐC LONG CHÂU Kho nhận hàng miền Bắc : Tổ Dân Phố 4, Thị Trấn Quang Minh, Huyện Mê Linh, Hà Nội Chung Thành/Lan Linh: 0934 338 883/ 0865 993 138</v>
      </c>
    </row>
    <row r="46" spans="1:7" s="22" customFormat="1" ht="37.5" customHeight="1" x14ac:dyDescent="0.25">
      <c r="A46" s="50">
        <f>IF(B46="","",SUBTOTAL(3,$B$2:B46))</f>
        <v>45</v>
      </c>
      <c r="B46" s="52" t="s">
        <v>113</v>
      </c>
      <c r="C46" s="52" t="s">
        <v>114</v>
      </c>
      <c r="D46" s="52" t="s">
        <v>115</v>
      </c>
      <c r="E46" s="51" t="s">
        <v>176</v>
      </c>
      <c r="F46" s="51" t="s">
        <v>116</v>
      </c>
      <c r="G46" s="53" t="str">
        <f t="shared" si="1"/>
        <v>CÔNG TY  CP  TM  DƯỢC  PHẨM  MẠNH  TÝ - VIỆT MỸ Lô số 1, Đường số 5, Cụm Công nghiệp An Hòa , Thành phố Huế Chị Cảnh: 0944.471.459 / Anh Trọng: 0935.117.233</v>
      </c>
    </row>
    <row r="47" spans="1:7" s="22" customFormat="1" ht="37.5" customHeight="1" x14ac:dyDescent="0.25">
      <c r="A47" s="54">
        <f>IF(B47="","",SUBTOTAL(3,$B$2:B47))</f>
        <v>46</v>
      </c>
      <c r="B47" s="55" t="s">
        <v>291</v>
      </c>
      <c r="C47" s="55" t="s">
        <v>292</v>
      </c>
      <c r="D47" s="55" t="s">
        <v>292</v>
      </c>
      <c r="E47" s="55" t="s">
        <v>293</v>
      </c>
      <c r="F47" s="55" t="s">
        <v>416</v>
      </c>
      <c r="G47" s="57" t="str">
        <f t="shared" si="1"/>
        <v>CÔNG TY MEDIMED 1073/27 A Đường CMT8, P. 7, Q. Tân Bình, TPHCM Ms My: 0918377855 / Mr. Khuê: 0903708647</v>
      </c>
    </row>
    <row r="48" spans="1:7" s="22" customFormat="1" ht="37.5" customHeight="1" x14ac:dyDescent="0.25">
      <c r="A48" s="50">
        <f>IF(B48="","",SUBTOTAL(3,$B$2:B48))</f>
        <v>47</v>
      </c>
      <c r="B48" s="51" t="s">
        <v>301</v>
      </c>
      <c r="C48" s="51" t="s">
        <v>302</v>
      </c>
      <c r="D48" s="51" t="s">
        <v>302</v>
      </c>
      <c r="E48" s="51" t="s">
        <v>303</v>
      </c>
      <c r="F48" s="51" t="s">
        <v>304</v>
      </c>
      <c r="G48" s="53" t="str">
        <f t="shared" si="1"/>
        <v>CÔNG TY TNHH DƯỢC PHẨM MEDX Kho thuocsi, Log 19, Đường số 3, Vsip 2, Phường Hòa Phú, Thủ Dầu Một, Bình Dương Mr Tùng 0937334335 / 02873008840</v>
      </c>
    </row>
    <row r="49" spans="1:7" s="22" customFormat="1" ht="37.5" customHeight="1" x14ac:dyDescent="0.25">
      <c r="A49" s="54">
        <f>IF(B49="","",SUBTOTAL(3,$B$2:B49))</f>
        <v>48</v>
      </c>
      <c r="B49" s="55" t="s">
        <v>252</v>
      </c>
      <c r="C49" s="55"/>
      <c r="D49" s="55" t="s">
        <v>414</v>
      </c>
      <c r="E49" s="55" t="s">
        <v>249</v>
      </c>
      <c r="F49" s="55" t="s">
        <v>366</v>
      </c>
      <c r="G49" s="57" t="str">
        <f t="shared" si="1"/>
        <v>CÔNG TY TNHH TMDV MOCHI.BR 87 Trần Hưng Đạo, phường Phước Nguyên, Tp Bà Rịa, Vũng Tàu Ngọc Uyển 0987513434 / Anh Tùng: 0909816867</v>
      </c>
    </row>
    <row r="50" spans="1:7" s="22" customFormat="1" ht="37.5" customHeight="1" x14ac:dyDescent="0.25">
      <c r="A50" s="50">
        <f>IF(B50="","",SUBTOTAL(3,$B$2:B50))</f>
        <v>49</v>
      </c>
      <c r="B50" s="51" t="s">
        <v>370</v>
      </c>
      <c r="C50" s="51"/>
      <c r="D50" s="51" t="s">
        <v>371</v>
      </c>
      <c r="E50" s="51" t="s">
        <v>419</v>
      </c>
      <c r="F50" s="51" t="s">
        <v>372</v>
      </c>
      <c r="G50" s="53" t="str">
        <f t="shared" si="1"/>
        <v>MR CƯỜNG-HCM 108/95 Trần văn quang, phường 10, Tân bình, Hồ Chí Minh Mr Cường 0905672582</v>
      </c>
    </row>
    <row r="51" spans="1:7" s="22" customFormat="1" ht="37.5" customHeight="1" x14ac:dyDescent="0.25">
      <c r="A51" s="54">
        <f>IF(B51="","",SUBTOTAL(3,$B$2:B51))</f>
        <v>50</v>
      </c>
      <c r="B51" s="55" t="s">
        <v>397</v>
      </c>
      <c r="C51" s="59"/>
      <c r="D51" s="55" t="s">
        <v>420</v>
      </c>
      <c r="E51" s="55" t="s">
        <v>398</v>
      </c>
      <c r="F51" s="55" t="s">
        <v>399</v>
      </c>
      <c r="G51" s="57" t="str">
        <f t="shared" si="1"/>
        <v>CHỊ MY _ 0918377855 1073/27A Cách mạng Tháng 8 , Phường 7, Quận Tân Bình , Tp Hồ Chí Minh Chị  My: 0918377855</v>
      </c>
    </row>
    <row r="52" spans="1:7" s="22" customFormat="1" ht="37.5" customHeight="1" x14ac:dyDescent="0.25">
      <c r="A52" s="50">
        <f>IF(B52="","",SUBTOTAL(3,$B$2:B52))</f>
        <v>51</v>
      </c>
      <c r="B52" s="52" t="s">
        <v>189</v>
      </c>
      <c r="C52" s="52" t="s">
        <v>102</v>
      </c>
      <c r="D52" s="52" t="s">
        <v>81</v>
      </c>
      <c r="E52" s="52" t="s">
        <v>170</v>
      </c>
      <c r="F52" s="52" t="s">
        <v>348</v>
      </c>
      <c r="G52" s="53" t="str">
        <f t="shared" si="1"/>
        <v>CÔNG TY CỔ PHẦN DƯỢC - VTYT NGHỆ AN Số 16 Nguyễn Thị Minh Khai, phường Hưng Bình, TP Vinh, Tỉnh Nghệ An Ms Liên: 0978488492 / Mr Trường: 0985. 625 .027</v>
      </c>
    </row>
    <row r="53" spans="1:7" s="22" customFormat="1" ht="37.5" customHeight="1" x14ac:dyDescent="0.25">
      <c r="A53" s="54">
        <f>IF(B53="","",SUBTOTAL(3,$B$2:B53))</f>
        <v>52</v>
      </c>
      <c r="B53" s="55" t="s">
        <v>144</v>
      </c>
      <c r="C53" s="55" t="s">
        <v>203</v>
      </c>
      <c r="D53" s="55" t="s">
        <v>145</v>
      </c>
      <c r="E53" s="55" t="s">
        <v>146</v>
      </c>
      <c r="F53" s="55" t="s">
        <v>147</v>
      </c>
      <c r="G53" s="57" t="str">
        <f t="shared" si="1"/>
        <v>CÔNG TY CỔ PHẦN NHI KHOA VIỆT NAM Tầng 4, NV1-6, Khu nhà ở cho CBCS cục B42, Tổng cục V, Bộ Công An, xã Tân Triều, huyện Thanh Trì, Hà Nội Chị Hằng: 0932.089.012</v>
      </c>
    </row>
    <row r="54" spans="1:7" s="22" customFormat="1" ht="37.5" customHeight="1" x14ac:dyDescent="0.25">
      <c r="A54" s="50">
        <f>IF(B54="","",SUBTOTAL(3,$B$2:B54))</f>
        <v>53</v>
      </c>
      <c r="B54" s="51" t="s">
        <v>373</v>
      </c>
      <c r="C54" s="51"/>
      <c r="D54" s="51" t="s">
        <v>374</v>
      </c>
      <c r="E54" s="51" t="s">
        <v>375</v>
      </c>
      <c r="F54" s="51" t="s">
        <v>376</v>
      </c>
      <c r="G54" s="53" t="str">
        <f t="shared" si="1"/>
        <v>NHÀ THUỐC 339 PHÙ NGHĨA Số 339 đường Phù Nghĩa, Lộc Hạ, TP Nam Định, tỉnh Nam Định Hậu 0912536658</v>
      </c>
    </row>
    <row r="55" spans="1:7" s="22" customFormat="1" ht="37.5" customHeight="1" x14ac:dyDescent="0.25">
      <c r="A55" s="54">
        <f>IF(B55="","",SUBTOTAL(3,$B$2:B55))</f>
        <v>54</v>
      </c>
      <c r="B55" s="55" t="s">
        <v>386</v>
      </c>
      <c r="C55" s="55"/>
      <c r="D55" s="55" t="s">
        <v>387</v>
      </c>
      <c r="E55" s="55" t="s">
        <v>388</v>
      </c>
      <c r="F55" s="55" t="s">
        <v>389</v>
      </c>
      <c r="G55" s="57" t="str">
        <f t="shared" si="1"/>
        <v>NHÀ THUỐC ANH THUẬN 155 Xô Viết Nghệ Tĩnh, phường Thắng Tam, TP Vũng Tàu Anh Thuận: 0947841717</v>
      </c>
    </row>
    <row r="56" spans="1:7" s="22" customFormat="1" ht="37.5" customHeight="1" x14ac:dyDescent="0.25">
      <c r="A56" s="50">
        <f>IF(B56="","",SUBTOTAL(3,$B$2:B56))</f>
        <v>55</v>
      </c>
      <c r="B56" s="51" t="s">
        <v>333</v>
      </c>
      <c r="C56" s="51" t="s">
        <v>334</v>
      </c>
      <c r="D56" s="51" t="s">
        <v>334</v>
      </c>
      <c r="E56" s="51" t="s">
        <v>335</v>
      </c>
      <c r="F56" s="51" t="s">
        <v>336</v>
      </c>
      <c r="G56" s="53" t="str">
        <f t="shared" si="1"/>
        <v>QUẦY THUỐC CN DƯỢC ĐÔ LƯƠNG NGHỆ AN (NT Hòa Vịnh) Xóm 8 Xã Đông Sơn H. Đô Lương Tỉnh NGhệ An ĐT:  0962302606</v>
      </c>
    </row>
    <row r="57" spans="1:7" s="22" customFormat="1" ht="37.5" customHeight="1" x14ac:dyDescent="0.25">
      <c r="A57" s="54">
        <f>IF(B57="","",SUBTOTAL(3,$B$2:B57))</f>
        <v>56</v>
      </c>
      <c r="B57" s="56" t="s">
        <v>351</v>
      </c>
      <c r="C57" s="55" t="s">
        <v>110</v>
      </c>
      <c r="D57" s="55" t="s">
        <v>111</v>
      </c>
      <c r="E57" s="55" t="s">
        <v>174</v>
      </c>
      <c r="F57" s="55" t="s">
        <v>385</v>
      </c>
      <c r="G57" s="57" t="str">
        <f t="shared" si="1"/>
        <v>NHÀ THUỐC SỐ 1, CHI NHÁNH DPTP. VINH (NT HỒNG NHUNG) Số 16 đường Nguyễn Thị Minh Khai, P. Hưng Bình, TP. Vinh, Nghệ An Mrs Lan Hương 0978634582 / Hiếu: 0974676446</v>
      </c>
    </row>
    <row r="58" spans="1:7" s="22" customFormat="1" ht="37.5" customHeight="1" x14ac:dyDescent="0.25">
      <c r="A58" s="50">
        <f>IF(B58="","",SUBTOTAL(3,$B$2:B58))</f>
        <v>57</v>
      </c>
      <c r="B58" s="51" t="s">
        <v>350</v>
      </c>
      <c r="C58" s="51" t="s">
        <v>337</v>
      </c>
      <c r="D58" s="51" t="s">
        <v>337</v>
      </c>
      <c r="E58" s="51" t="s">
        <v>338</v>
      </c>
      <c r="F58" s="51" t="s">
        <v>339</v>
      </c>
      <c r="G58" s="53" t="str">
        <f t="shared" si="1"/>
        <v>NHÀ THUỐC HƯƠNG NHO Số 16 đường Nguyễn Thị Minh Khai P. Hưng Bình, TP Vinh tình Nghệ An Mrs Lan Hương 0978634582</v>
      </c>
    </row>
    <row r="59" spans="1:7" s="22" customFormat="1" ht="37.5" customHeight="1" x14ac:dyDescent="0.25">
      <c r="A59" s="54">
        <f>IF(B59="","",SUBTOTAL(3,$B$2:B59))</f>
        <v>58</v>
      </c>
      <c r="B59" s="55" t="s">
        <v>445</v>
      </c>
      <c r="C59" s="55" t="s">
        <v>446</v>
      </c>
      <c r="D59" s="55" t="s">
        <v>446</v>
      </c>
      <c r="E59" s="55" t="s">
        <v>447</v>
      </c>
      <c r="F59" s="55" t="s">
        <v>454</v>
      </c>
      <c r="G59" s="57" t="str">
        <f t="shared" si="1"/>
        <v>NHÀ THUỐC MINH LIỄU 116 Trần Thái Tông, Thị Trấn Hưng Nhân, Huyện Hưng Hà, Tỉnh Thái Bình ĐT: 0914538228</v>
      </c>
    </row>
    <row r="60" spans="1:7" s="22" customFormat="1" ht="37.5" customHeight="1" x14ac:dyDescent="0.25">
      <c r="A60" s="50">
        <f>IF(B60="","",SUBTOTAL(3,$B$2:B60))</f>
        <v>59</v>
      </c>
      <c r="B60" s="51" t="s">
        <v>340</v>
      </c>
      <c r="C60" s="51" t="s">
        <v>341</v>
      </c>
      <c r="D60" s="51" t="s">
        <v>341</v>
      </c>
      <c r="E60" s="51" t="s">
        <v>342</v>
      </c>
      <c r="F60" s="51" t="s">
        <v>343</v>
      </c>
      <c r="G60" s="53" t="str">
        <f t="shared" si="1"/>
        <v>NHÀ THUỐC PHƯỢNG MỸ 157 THĂNG LONG, KIM LIÊN, NGHI LIÊN, TP VINH, TỈNH NGHỆ AN ĐT: 0982969844</v>
      </c>
    </row>
    <row r="61" spans="1:7" s="22" customFormat="1" ht="37.5" customHeight="1" x14ac:dyDescent="0.25">
      <c r="A61" s="54">
        <f>IF(B61="","",SUBTOTAL(3,$B$2:B61))</f>
        <v>60</v>
      </c>
      <c r="B61" s="55" t="s">
        <v>428</v>
      </c>
      <c r="C61" s="55" t="s">
        <v>429</v>
      </c>
      <c r="D61" s="55" t="s">
        <v>429</v>
      </c>
      <c r="E61" s="55" t="s">
        <v>430</v>
      </c>
      <c r="F61" s="55" t="s">
        <v>431</v>
      </c>
      <c r="G61" s="57" t="str">
        <f t="shared" si="1"/>
        <v>NHÀ THUỐC TÂM BÌNH SN 58 Trần Nhân Tông, P. Quảng Hưng, TP Thanh Hóa Người nhận: Bình 0963815168</v>
      </c>
    </row>
    <row r="62" spans="1:7" s="22" customFormat="1" ht="37.5" customHeight="1" x14ac:dyDescent="0.25">
      <c r="A62" s="50">
        <f>IF(B62="","",SUBTOTAL(3,$B$2:B62))</f>
        <v>61</v>
      </c>
      <c r="B62" s="51" t="s">
        <v>353</v>
      </c>
      <c r="C62" s="51" t="s">
        <v>353</v>
      </c>
      <c r="D62" s="51" t="s">
        <v>354</v>
      </c>
      <c r="E62" s="51" t="s">
        <v>355</v>
      </c>
      <c r="F62" s="51" t="s">
        <v>356</v>
      </c>
      <c r="G62" s="53" t="str">
        <f t="shared" si="1"/>
        <v>NHÀ THUỐC THÀNH CAO 42 Nguyễn Thị Minh khai - P7 Thị Xã Trà Vinh Tỉnh Trà Vinh SĐT: 0913777084</v>
      </c>
    </row>
    <row r="63" spans="1:7" s="22" customFormat="1" ht="37.5" customHeight="1" x14ac:dyDescent="0.25">
      <c r="A63" s="54">
        <f>IF(B63="","",SUBTOTAL(3,$B$2:B63))</f>
        <v>62</v>
      </c>
      <c r="B63" s="55" t="s">
        <v>381</v>
      </c>
      <c r="C63" s="55"/>
      <c r="D63" s="55" t="s">
        <v>382</v>
      </c>
      <c r="E63" s="55" t="s">
        <v>383</v>
      </c>
      <c r="F63" s="55" t="s">
        <v>384</v>
      </c>
      <c r="G63" s="57" t="str">
        <f t="shared" si="1"/>
        <v>NHÀ THUỐC THANH NGỌC 47 Huỳnh Thúc Kháng, Vĩnh Quang Rạch Giá Kiên Giang Mr Huế 0912284428</v>
      </c>
    </row>
    <row r="64" spans="1:7" s="22" customFormat="1" ht="37.5" customHeight="1" x14ac:dyDescent="0.25">
      <c r="A64" s="50">
        <f>IF(B64="","",SUBTOTAL(3,$B$2:B64))</f>
        <v>63</v>
      </c>
      <c r="B64" s="51" t="s">
        <v>432</v>
      </c>
      <c r="C64" s="51" t="s">
        <v>433</v>
      </c>
      <c r="D64" s="51" t="s">
        <v>433</v>
      </c>
      <c r="E64" s="51" t="s">
        <v>434</v>
      </c>
      <c r="F64" s="51" t="s">
        <v>435</v>
      </c>
      <c r="G64" s="53" t="str">
        <f t="shared" si="1"/>
        <v>NHÀ THUỐC THIỆN HÀ 490 Hải Thượng Lãn Ông Đông Vệ Thanh Hóa Mrs Hà 0986796778</v>
      </c>
    </row>
    <row r="65" spans="1:7" s="22" customFormat="1" ht="37.5" customHeight="1" x14ac:dyDescent="0.25">
      <c r="A65" s="54">
        <f>IF(B65="","",SUBTOTAL(3,$B$2:B65))</f>
        <v>64</v>
      </c>
      <c r="B65" s="55" t="s">
        <v>436</v>
      </c>
      <c r="C65" s="55" t="s">
        <v>437</v>
      </c>
      <c r="D65" s="55" t="s">
        <v>437</v>
      </c>
      <c r="E65" s="55" t="s">
        <v>438</v>
      </c>
      <c r="F65" s="55" t="s">
        <v>439</v>
      </c>
      <c r="G65" s="57" t="str">
        <f t="shared" si="1"/>
        <v>NHÀ THUỐC TUẤN LINH Thôn Đông xã Quảng Nam huyện Quảng Xương Thanh Hóa SĐT: 0378957197</v>
      </c>
    </row>
    <row r="66" spans="1:7" s="22" customFormat="1" ht="37.5" customHeight="1" x14ac:dyDescent="0.25">
      <c r="A66" s="50">
        <f>IF(B66="","",SUBTOTAL(3,$B$2:B66))</f>
        <v>65</v>
      </c>
      <c r="B66" s="51" t="s">
        <v>426</v>
      </c>
      <c r="C66" s="51" t="s">
        <v>427</v>
      </c>
      <c r="D66" s="51" t="s">
        <v>427</v>
      </c>
      <c r="E66" s="51" t="s">
        <v>90</v>
      </c>
      <c r="F66" s="51" t="s">
        <v>91</v>
      </c>
      <c r="G66" s="53" t="str">
        <f t="shared" ref="G66:G91" si="2">D66&amp;" "
&amp;E66&amp;
" "&amp;F66</f>
        <v>KHO OTC HÀ NỘI 09- Ngõ 87 Nguyễn Văn Trỗi, Thanh Xuân, Hà Nội Nguyễn Thúy Hà: 0902 091 284</v>
      </c>
    </row>
    <row r="67" spans="1:7" s="22" customFormat="1" ht="37.5" customHeight="1" x14ac:dyDescent="0.25">
      <c r="A67" s="54">
        <f>IF(B67="","",SUBTOTAL(3,$B$2:B67))</f>
        <v>66</v>
      </c>
      <c r="B67" s="55" t="s">
        <v>318</v>
      </c>
      <c r="C67" s="55" t="s">
        <v>319</v>
      </c>
      <c r="D67" s="55" t="s">
        <v>319</v>
      </c>
      <c r="E67" s="55" t="s">
        <v>320</v>
      </c>
      <c r="F67" s="55" t="s">
        <v>321</v>
      </c>
      <c r="G67" s="57" t="str">
        <f t="shared" si="2"/>
        <v>CÔNG TY TNHH PHÚC KHỞI NGUYÊN Lô 49, đường số 2, Khu nhà ở CBGV trường ĐHCT, Phường An Khánh, Quận Ninh Kiều, Thành Phố Cần Thơ, Việt Nam Anh Khởi: 0907678257</v>
      </c>
    </row>
    <row r="68" spans="1:7" s="22" customFormat="1" ht="37.5" customHeight="1" x14ac:dyDescent="0.25">
      <c r="A68" s="50">
        <f>IF(B68="","",SUBTOTAL(3,$B$2:B68))</f>
        <v>67</v>
      </c>
      <c r="B68" s="51" t="s">
        <v>251</v>
      </c>
      <c r="C68" s="51"/>
      <c r="D68" s="51" t="s">
        <v>248</v>
      </c>
      <c r="E68" s="51" t="s">
        <v>249</v>
      </c>
      <c r="F68" s="51" t="s">
        <v>250</v>
      </c>
      <c r="G68" s="53" t="str">
        <f t="shared" si="2"/>
        <v>CÔNG TY PHƯỚC AN HÒA 87 Trần Hưng Đạo, phường Phước Nguyên, Tp Bà Rịa, Vũng Tàu Anh Tùng: 0909816867</v>
      </c>
    </row>
    <row r="69" spans="1:7" s="22" customFormat="1" ht="37.5" customHeight="1" x14ac:dyDescent="0.25">
      <c r="A69" s="54">
        <f>IF(B69="","",SUBTOTAL(3,$B$2:B69))</f>
        <v>68</v>
      </c>
      <c r="B69" s="56" t="s">
        <v>193</v>
      </c>
      <c r="C69" s="55" t="s">
        <v>152</v>
      </c>
      <c r="D69" s="55" t="s">
        <v>152</v>
      </c>
      <c r="E69" s="55" t="s">
        <v>175</v>
      </c>
      <c r="F69" s="55" t="s">
        <v>153</v>
      </c>
      <c r="G69" s="57" t="str">
        <f t="shared" si="2"/>
        <v>CÔNG TY CỔ PHẦN SAO MAI Km 4, đường Hùng Vương, phường Phúc  Khánh, TP Thái Bình Chị Xuyến: 0983 .142. 598</v>
      </c>
    </row>
    <row r="70" spans="1:7" s="22" customFormat="1" ht="37.5" customHeight="1" x14ac:dyDescent="0.25">
      <c r="A70" s="50">
        <f>IF(B70="","",SUBTOTAL(3,$B$2:B70))</f>
        <v>69</v>
      </c>
      <c r="B70" s="51" t="s">
        <v>296</v>
      </c>
      <c r="C70" s="51" t="s">
        <v>296</v>
      </c>
      <c r="D70" s="51" t="s">
        <v>297</v>
      </c>
      <c r="E70" s="51" t="s">
        <v>298</v>
      </c>
      <c r="F70" s="51" t="s">
        <v>299</v>
      </c>
      <c r="G70" s="53" t="str">
        <f t="shared" si="2"/>
        <v>CÔNG TY TNHH TM SX SỨC KHỎE VIỆT 286/8 CMT8, phường Bùi Hữu Nghĩa, quận Bình Thủy, TP Cần Thơ Mr Kha 0795453553</v>
      </c>
    </row>
    <row r="71" spans="1:7" s="22" customFormat="1" ht="37.5" customHeight="1" x14ac:dyDescent="0.25">
      <c r="A71" s="54">
        <f>IF(B71="","",SUBTOTAL(3,$B$2:B71))</f>
        <v>70</v>
      </c>
      <c r="B71" s="56" t="s">
        <v>190</v>
      </c>
      <c r="C71" s="56" t="s">
        <v>103</v>
      </c>
      <c r="D71" s="56" t="s">
        <v>104</v>
      </c>
      <c r="E71" s="56" t="s">
        <v>171</v>
      </c>
      <c r="F71" s="56" t="s">
        <v>82</v>
      </c>
      <c r="G71" s="57" t="str">
        <f t="shared" si="2"/>
        <v>CÔNG TY CỔ PHẦN DƯỢC PHẨM TAMY Nhà liền kề 9, khu Tecco- Quang Trung, TP Vinh, Tỉnh Nghệ An Mr Trường: 0985. 625 .027</v>
      </c>
    </row>
    <row r="72" spans="1:7" ht="45" x14ac:dyDescent="0.25">
      <c r="A72" s="50">
        <f>IF(B72="","",SUBTOTAL(3,$B$2:B72))</f>
        <v>71</v>
      </c>
      <c r="B72" s="52" t="s">
        <v>181</v>
      </c>
      <c r="C72" s="52" t="s">
        <v>197</v>
      </c>
      <c r="D72" s="52" t="s">
        <v>182</v>
      </c>
      <c r="E72" s="51" t="s">
        <v>93</v>
      </c>
      <c r="F72" s="52" t="s">
        <v>94</v>
      </c>
      <c r="G72" s="53" t="str">
        <f t="shared" si="2"/>
        <v>KHO TÂN TẠO Kho Danapha tại Tân Tạo - Lô 14, đường số 8, KCN Tân Tạo, P.Tân Tạo A, Q.Bình Tân, TP.HCM (01000TT) Hoàng Thị Thanh Bình: 0914 127 404</v>
      </c>
    </row>
    <row r="73" spans="1:7" ht="30" x14ac:dyDescent="0.25">
      <c r="A73" s="54">
        <f>IF(B73="","",SUBTOTAL(3,$B$2:B73))</f>
        <v>72</v>
      </c>
      <c r="B73" s="55" t="s">
        <v>400</v>
      </c>
      <c r="C73" s="55"/>
      <c r="D73" s="55" t="s">
        <v>401</v>
      </c>
      <c r="E73" s="55" t="s">
        <v>369</v>
      </c>
      <c r="F73" s="55" t="s">
        <v>418</v>
      </c>
      <c r="G73" s="57" t="str">
        <f t="shared" si="2"/>
        <v>CÔNG TY TNHH DƯỢC PHẨM TÂN THÀNH NAM Địa chỉ: Thôn 2 – Lại Yên – Hoài Đức – Hà Nội Nguyễn Hồng Phương: 0985628162</v>
      </c>
    </row>
    <row r="74" spans="1:7" ht="30" x14ac:dyDescent="0.25">
      <c r="A74" s="50">
        <f>IF(B74="","",SUBTOTAL(3,$B$2:B74))</f>
        <v>73</v>
      </c>
      <c r="B74" s="52" t="s">
        <v>200</v>
      </c>
      <c r="C74" s="52" t="s">
        <v>188</v>
      </c>
      <c r="D74" s="52" t="s">
        <v>99</v>
      </c>
      <c r="E74" s="52" t="s">
        <v>100</v>
      </c>
      <c r="F74" s="52" t="s">
        <v>101</v>
      </c>
      <c r="G74" s="53" t="str">
        <f t="shared" si="2"/>
        <v>CHI NHÁNH THANH HÓA Lô 141, LK3, MBQH 121/UB-CN, P. Đông Vệ, TP. Thanh Hóa, Tỉnh Thanh Hóa Lê Hữu Bắc: 0988264314</v>
      </c>
    </row>
    <row r="75" spans="1:7" ht="30" x14ac:dyDescent="0.25">
      <c r="A75" s="54">
        <f>IF(B75="","",SUBTOTAL(3,$B$2:B75))</f>
        <v>74</v>
      </c>
      <c r="B75" s="55" t="s">
        <v>352</v>
      </c>
      <c r="C75" s="55" t="s">
        <v>202</v>
      </c>
      <c r="D75" s="55" t="s">
        <v>143</v>
      </c>
      <c r="E75" s="55" t="s">
        <v>179</v>
      </c>
      <c r="F75" s="55" t="s">
        <v>347</v>
      </c>
      <c r="G75" s="57" t="str">
        <f t="shared" si="2"/>
        <v>CÔNG TY CP DƯỢC MỸ PHẨM THIÊN MINH Số 23, ngõ 37 Nguyễn Tiến Tái, Khối 17, P. Hưng bình, TP. Vinh, Nghệ An Mrs Ngọc: 0946831288</v>
      </c>
    </row>
    <row r="76" spans="1:7" ht="45" x14ac:dyDescent="0.25">
      <c r="A76" s="50">
        <f>IF(B76="","",SUBTOTAL(3,$B$2:B76))</f>
        <v>75</v>
      </c>
      <c r="B76" s="51" t="s">
        <v>216</v>
      </c>
      <c r="C76" s="51" t="s">
        <v>407</v>
      </c>
      <c r="D76" s="51" t="s">
        <v>287</v>
      </c>
      <c r="E76" s="51" t="s">
        <v>177</v>
      </c>
      <c r="F76" s="51" t="s">
        <v>284</v>
      </c>
      <c r="G76" s="53" t="str">
        <f t="shared" si="2"/>
        <v>CÔNG TY TIÊN TIẾN (Kho Dệt Len) Kho Dệt Len Đà Lạt, số 114 (km2.5) Phùng Hưng, Hà Đông, Hà Nội (Đối diện viện K Tân Triều) Mr Dương: 0906 228 988; Ms Thu 0358116308</v>
      </c>
    </row>
    <row r="77" spans="1:7" ht="30" x14ac:dyDescent="0.25">
      <c r="A77" s="54">
        <f>IF(B77="","",SUBTOTAL(3,$B$2:B77))</f>
        <v>76</v>
      </c>
      <c r="B77" s="55" t="s">
        <v>283</v>
      </c>
      <c r="C77" s="55" t="s">
        <v>139</v>
      </c>
      <c r="D77" s="55" t="s">
        <v>286</v>
      </c>
      <c r="E77" s="55" t="s">
        <v>285</v>
      </c>
      <c r="F77" s="55" t="s">
        <v>463</v>
      </c>
      <c r="G77" s="57" t="str">
        <f t="shared" si="2"/>
        <v>CÔNG TY TIÊN TIẾN (Đông Anh) Đường Hoàng Sa, thôn Cầu Thăng Long, xã Kim Nỗ, huyện Đông Anh, Hà Nội Mr Thiện 0386379956</v>
      </c>
    </row>
    <row r="78" spans="1:7" ht="45" x14ac:dyDescent="0.25">
      <c r="A78" s="50">
        <f>IF(B78="","",SUBTOTAL(3,$B$2:B78))</f>
        <v>77</v>
      </c>
      <c r="B78" s="51" t="s">
        <v>215</v>
      </c>
      <c r="C78" s="51" t="s">
        <v>406</v>
      </c>
      <c r="D78" s="51" t="s">
        <v>137</v>
      </c>
      <c r="E78" s="51" t="s">
        <v>138</v>
      </c>
      <c r="F78" s="51" t="s">
        <v>394</v>
      </c>
      <c r="G78" s="53" t="str">
        <f t="shared" si="2"/>
        <v>CÔNG TY TIÊN TIẾN Lô III-14, Đường số CN1, Nhóm CN III, Khu CN Tân Bình, Phường Tây Thạnh, Quận Tân Phú, TP. Hồ Chí Minh anh Trị: 0707809180 / Ms Trang: 0896366859</v>
      </c>
    </row>
    <row r="79" spans="1:7" ht="45" x14ac:dyDescent="0.25">
      <c r="A79" s="54">
        <f>IF(B79="","",SUBTOTAL(3,$B$2:B79))</f>
        <v>78</v>
      </c>
      <c r="B79" s="55" t="s">
        <v>217</v>
      </c>
      <c r="C79" s="55" t="s">
        <v>408</v>
      </c>
      <c r="D79" s="55" t="s">
        <v>137</v>
      </c>
      <c r="E79" s="55" t="s">
        <v>230</v>
      </c>
      <c r="F79" s="55" t="s">
        <v>140</v>
      </c>
      <c r="G79" s="57" t="str">
        <f t="shared" si="2"/>
        <v>CÔNG TY TIÊN TIẾN Đường số 6B-Khu Công nghiệp Hòa Khánh, phường Hòa Khánh Bắc, quận Liên Chiểu, TP Đà Nẵng Ms Hiền: 0984 991 633</v>
      </c>
    </row>
    <row r="80" spans="1:7" ht="30" x14ac:dyDescent="0.25">
      <c r="A80" s="50">
        <f>IF(B80="","",SUBTOTAL(3,$B$2:B80))</f>
        <v>79</v>
      </c>
      <c r="B80" s="51" t="s">
        <v>324</v>
      </c>
      <c r="C80" s="51"/>
      <c r="D80" s="51" t="s">
        <v>323</v>
      </c>
      <c r="E80" s="51" t="s">
        <v>325</v>
      </c>
      <c r="F80" s="51" t="s">
        <v>326</v>
      </c>
      <c r="G80" s="53" t="str">
        <f t="shared" si="2"/>
        <v>CÔNG TY CỔ PHẦN TRUSTPHARM Thửa đất số 2243 KV Bình An, P. Long Hòa Q. Ninh Kiều TP Cần Thơ SĐT: 0849212767</v>
      </c>
    </row>
    <row r="81" spans="1:7" ht="45" x14ac:dyDescent="0.25">
      <c r="A81" s="54">
        <f>IF(B81="","",SUBTOTAL(3,$B$2:B81))</f>
        <v>80</v>
      </c>
      <c r="B81" s="55" t="s">
        <v>275</v>
      </c>
      <c r="C81" s="55"/>
      <c r="D81" s="55" t="s">
        <v>274</v>
      </c>
      <c r="E81" s="55" t="s">
        <v>276</v>
      </c>
      <c r="F81" s="55" t="s">
        <v>277</v>
      </c>
      <c r="G81" s="57" t="str">
        <f t="shared" si="2"/>
        <v>CÔNG TY CP TTH HÀ TĨNH- CHI NHÁNH BỆNH VIỆN ĐA KHOA TTH HÀ TĨNH Số 01, đường Ngô Quyền, Xã Thạch Trung, Thành phố Hà Tĩnh, Tỉnh Hà Tĩnh Ms Thủy kho: 0916744855</v>
      </c>
    </row>
    <row r="82" spans="1:7" ht="30" x14ac:dyDescent="0.25">
      <c r="A82" s="50">
        <f>IF(B82="","",SUBTOTAL(3,$B$2:B82))</f>
        <v>81</v>
      </c>
      <c r="B82" s="51" t="s">
        <v>256</v>
      </c>
      <c r="C82" s="51"/>
      <c r="D82" s="51" t="s">
        <v>257</v>
      </c>
      <c r="E82" s="51" t="s">
        <v>258</v>
      </c>
      <c r="F82" s="51" t="s">
        <v>259</v>
      </c>
      <c r="G82" s="53" t="str">
        <f t="shared" si="2"/>
        <v>BỆNH VIỆN TÂM THẦN THÁI BÌNH Số 363 đường Trần Lãm, thành phố Thái Bình, tỉnh Thái Bình Chị Nguyệt: 0858450181</v>
      </c>
    </row>
    <row r="83" spans="1:7" ht="30" x14ac:dyDescent="0.25">
      <c r="A83" s="54">
        <f>IF(B83="","",SUBTOTAL(3,$B$2:B83))</f>
        <v>82</v>
      </c>
      <c r="B83" s="55" t="s">
        <v>162</v>
      </c>
      <c r="C83" s="55" t="s">
        <v>208</v>
      </c>
      <c r="D83" s="55" t="s">
        <v>161</v>
      </c>
      <c r="E83" s="55" t="s">
        <v>168</v>
      </c>
      <c r="F83" s="55" t="s">
        <v>163</v>
      </c>
      <c r="G83" s="57" t="str">
        <f t="shared" si="2"/>
        <v>CÔNG TY TNHH DƯỢC PHẨM VIỆT HÙNG Tầng 1 Toà ct2 khu đô thị dream town, phường Tây Mỗ, quận Nam Từ Liêm, Hà Nội Chị Hoa thủ kho- 098 8402939</v>
      </c>
    </row>
    <row r="84" spans="1:7" ht="30" x14ac:dyDescent="0.25">
      <c r="A84" s="50">
        <f>IF(B84="","",SUBTOTAL(3,$B$2:B84))</f>
        <v>83</v>
      </c>
      <c r="B84" s="51" t="s">
        <v>231</v>
      </c>
      <c r="C84" s="51"/>
      <c r="D84" s="51" t="s">
        <v>232</v>
      </c>
      <c r="E84" s="51" t="s">
        <v>233</v>
      </c>
      <c r="F84" s="51" t="s">
        <v>234</v>
      </c>
      <c r="G84" s="53" t="str">
        <f t="shared" si="2"/>
        <v>CÔNG TY TNHH DƯỢC PHẨM VIỆT TÍN THA Ki ốt 3/3 khu đô thị Hoàng Long P. Tào Xuyên TP. Thanh Hóa Ms Phương 0989733752</v>
      </c>
    </row>
    <row r="85" spans="1:7" ht="30" x14ac:dyDescent="0.25">
      <c r="A85" s="54">
        <f>IF(B85="","",SUBTOTAL(3,$B$2:B85))</f>
        <v>84</v>
      </c>
      <c r="B85" s="56" t="s">
        <v>199</v>
      </c>
      <c r="C85" s="56" t="s">
        <v>187</v>
      </c>
      <c r="D85" s="56" t="s">
        <v>96</v>
      </c>
      <c r="E85" s="56" t="s">
        <v>97</v>
      </c>
      <c r="F85" s="56" t="s">
        <v>98</v>
      </c>
      <c r="G85" s="57" t="str">
        <f t="shared" si="2"/>
        <v>CHI NHÁNH VĨNH PHÚC Số 43, Lô S6, Khu đô thị chùa Hà Tiên, P. Liên Bảo, Tp. Vĩnh Yên, Tỉnh Vĩnh Phúc.  Vũ An Hòa: 0968831163</v>
      </c>
    </row>
    <row r="86" spans="1:7" ht="30" x14ac:dyDescent="0.25">
      <c r="A86" s="50">
        <f>IF(B86="","",SUBTOTAL(3,$B$2:B86))</f>
        <v>85</v>
      </c>
      <c r="B86" s="51" t="s">
        <v>367</v>
      </c>
      <c r="C86" s="51"/>
      <c r="D86" s="51" t="s">
        <v>368</v>
      </c>
      <c r="E86" s="51" t="s">
        <v>369</v>
      </c>
      <c r="F86" s="51" t="s">
        <v>418</v>
      </c>
      <c r="G86" s="53" t="str">
        <f t="shared" si="2"/>
        <v>CÔNG TY CỔ PHẦN VINPHARM Địa chỉ: Thôn 2 – Lại Yên – Hoài Đức – Hà Nội Nguyễn Hồng Phương: 0985628162</v>
      </c>
    </row>
    <row r="87" spans="1:7" ht="30" x14ac:dyDescent="0.25">
      <c r="A87" s="54">
        <f>IF(B87="","",SUBTOTAL(3,$B$2:B87))</f>
        <v>86</v>
      </c>
      <c r="B87" s="56" t="s">
        <v>224</v>
      </c>
      <c r="C87" s="56"/>
      <c r="D87" s="56" t="s">
        <v>81</v>
      </c>
      <c r="E87" s="56" t="s">
        <v>170</v>
      </c>
      <c r="F87" s="55" t="s">
        <v>228</v>
      </c>
      <c r="G87" s="57" t="str">
        <f t="shared" si="2"/>
        <v>CÔNG TY CỔ PHẦN DƯỢC - VTYT NGHỆ AN Số 16 Nguyễn Thị Minh Khai, phường Hưng Bình, TP Vinh, Tỉnh Nghệ An A. Hiếu : 0974676446 / 0238.3841642</v>
      </c>
    </row>
    <row r="88" spans="1:7" ht="30" x14ac:dyDescent="0.25">
      <c r="A88" s="50">
        <f>IF(B88="","",SUBTOTAL(3,$B$2:B88))</f>
        <v>87</v>
      </c>
      <c r="B88" s="52" t="s">
        <v>225</v>
      </c>
      <c r="C88" s="51"/>
      <c r="D88" s="51" t="s">
        <v>226</v>
      </c>
      <c r="E88" s="51" t="s">
        <v>227</v>
      </c>
      <c r="F88" s="51" t="s">
        <v>229</v>
      </c>
      <c r="G88" s="53" t="str">
        <f t="shared" si="2"/>
        <v>CÔNG TY CP DƯỢC VTYT THANH HÓA Số 232 Trần Phú, P. Lam Sơn, TP Thanh Hóa Phượng 090 4822555 / 02373852691</v>
      </c>
    </row>
    <row r="89" spans="1:7" s="22" customFormat="1" ht="37.5" customHeight="1" x14ac:dyDescent="0.25">
      <c r="A89" s="54">
        <f>IF(B89="","",SUBTOTAL(3,$B$2:B89))</f>
        <v>88</v>
      </c>
      <c r="B89" s="60" t="s">
        <v>452</v>
      </c>
      <c r="C89" s="60"/>
      <c r="D89" s="60" t="s">
        <v>248</v>
      </c>
      <c r="E89" s="60" t="s">
        <v>453</v>
      </c>
      <c r="F89" s="60" t="s">
        <v>250</v>
      </c>
      <c r="G89" s="61" t="str">
        <f t="shared" si="2"/>
        <v>CÔNG TY PHƯỚC AN HÒA 38 Tam Đảo, phường 15, quận 10, thành phố Hồ Chí Minh Anh Tùng: 0909816867</v>
      </c>
    </row>
    <row r="90" spans="1:7" ht="30" x14ac:dyDescent="0.25">
      <c r="A90" s="50">
        <f>IF(B90="","",SUBTOTAL(3,$B$2:B90))</f>
        <v>89</v>
      </c>
      <c r="B90" s="56" t="s">
        <v>455</v>
      </c>
      <c r="C90" s="56"/>
      <c r="D90" s="56" t="s">
        <v>456</v>
      </c>
      <c r="E90" s="56" t="s">
        <v>457</v>
      </c>
      <c r="F90" s="60" t="s">
        <v>458</v>
      </c>
      <c r="G90" s="61" t="str">
        <f t="shared" si="2"/>
        <v>CÔNG TY CỔ PHẦN CÁC SẢN PHẨM THIÊN NHIÊN Số 62 trung yên 12, yên hòa, cầu giấy, HN Thủy Tiên 0916815789</v>
      </c>
    </row>
    <row r="91" spans="1:7" ht="30" x14ac:dyDescent="0.25">
      <c r="A91" s="54">
        <f>IF(B91="","",SUBTOTAL(3,$B$2:B91))</f>
        <v>90</v>
      </c>
      <c r="B91" s="56" t="s">
        <v>459</v>
      </c>
      <c r="C91" s="56"/>
      <c r="D91" s="56" t="s">
        <v>460</v>
      </c>
      <c r="E91" s="56" t="s">
        <v>461</v>
      </c>
      <c r="F91" s="60" t="s">
        <v>462</v>
      </c>
      <c r="G91" s="61" t="str">
        <f t="shared" si="2"/>
        <v>NHÀ THUỐC LÊ THỊ TRÂM SN 32 đường 21B TDP Đinh Cựu TT Cổ lễ Trực Ninh, Nam Định Loan Phong: 0836302666</v>
      </c>
    </row>
    <row r="92" spans="1:7" ht="45" x14ac:dyDescent="0.25">
      <c r="A92" s="50">
        <f>IF(B92="","",SUBTOTAL(3,$B$2:B92))</f>
        <v>91</v>
      </c>
      <c r="B92" s="56" t="s">
        <v>468</v>
      </c>
      <c r="C92" s="56"/>
      <c r="D92" s="56" t="s">
        <v>464</v>
      </c>
      <c r="E92" s="56" t="s">
        <v>465</v>
      </c>
      <c r="F92" s="60" t="s">
        <v>466</v>
      </c>
      <c r="G92" s="62" t="s">
        <v>467</v>
      </c>
    </row>
  </sheetData>
  <conditionalFormatting sqref="E81">
    <cfRule type="duplicateValues" dxfId="13" priority="4"/>
  </conditionalFormatting>
  <conditionalFormatting sqref="E82">
    <cfRule type="duplicateValues" dxfId="12" priority="3"/>
  </conditionalFormatting>
  <conditionalFormatting sqref="E83">
    <cfRule type="duplicateValues" dxfId="11" priority="2"/>
  </conditionalFormatting>
  <conditionalFormatting sqref="E2:E88">
    <cfRule type="duplicateValues" dxfId="10" priority="7"/>
  </conditionalFormatting>
  <conditionalFormatting sqref="E89">
    <cfRule type="duplicateValues" dxfId="9" priority="1"/>
  </conditionalFormatting>
  <pageMargins left="0.69930555555555551" right="0.69930555555555551" top="0.75" bottom="0.75" header="0.3" footer="0.3"/>
  <pageSetup paperSize="9" orientation="landscape" verticalDpi="0" r:id="rId1"/>
  <headerFooter alignWithMargins="0"/>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BBGH</vt:lpstr>
      <vt:lpstr>contact</vt:lpstr>
      <vt:lpstr>BBGH!Print_Area</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cp:lastPrinted>2023-09-18T01:14:51Z</cp:lastPrinted>
  <dcterms:created xsi:type="dcterms:W3CDTF">2022-04-12T04:05:54Z</dcterms:created>
  <dcterms:modified xsi:type="dcterms:W3CDTF">2023-10-06T06:35:10Z</dcterms:modified>
</cp:coreProperties>
</file>